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_UQAR\These\chapitre_2\Article\Repository\Raw_data_salamanders_modularity\"/>
    </mc:Choice>
  </mc:AlternateContent>
  <xr:revisionPtr revIDLastSave="0" documentId="13_ncr:1_{2C426552-BEF6-443A-B2B6-00BC895FFE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  <sheet name="Feuille 2" sheetId="2" r:id="rId2"/>
  </sheets>
  <calcPr calcId="181029"/>
  <extLst>
    <ext uri="GoogleSheetsCustomDataVersion2">
      <go:sheetsCustomData xmlns:go="http://customooxmlschemas.google.com/" r:id="rId6" roundtripDataChecksum="RCauXT1l0HydKM0hnaTHq79/RKCkyTpo+fcKBSK3eDE="/>
    </ext>
  </extLst>
</workbook>
</file>

<file path=xl/calcChain.xml><?xml version="1.0" encoding="utf-8"?>
<calcChain xmlns="http://schemas.openxmlformats.org/spreadsheetml/2006/main">
  <c r="E71" i="2" l="1"/>
  <c r="D71" i="2"/>
  <c r="C71" i="2"/>
</calcChain>
</file>

<file path=xl/sharedStrings.xml><?xml version="1.0" encoding="utf-8"?>
<sst xmlns="http://schemas.openxmlformats.org/spreadsheetml/2006/main" count="1389" uniqueCount="551">
  <si>
    <t>Family</t>
  </si>
  <si>
    <t>Genus</t>
  </si>
  <si>
    <t>Species</t>
  </si>
  <si>
    <t>Specimen_type</t>
  </si>
  <si>
    <t>Manager</t>
  </si>
  <si>
    <t>From</t>
  </si>
  <si>
    <t>ID</t>
  </si>
  <si>
    <t>Total_length</t>
  </si>
  <si>
    <t>SVL</t>
  </si>
  <si>
    <t>Body_volume</t>
  </si>
  <si>
    <t>Sex</t>
  </si>
  <si>
    <t>Country</t>
  </si>
  <si>
    <t>State_Province</t>
  </si>
  <si>
    <t>Locality</t>
  </si>
  <si>
    <t>Decimal_location</t>
  </si>
  <si>
    <t>GPS_location</t>
  </si>
  <si>
    <t>Proteidae</t>
  </si>
  <si>
    <t>Necturus</t>
  </si>
  <si>
    <t>Necturus maculosus</t>
  </si>
  <si>
    <t>Paedomorph</t>
  </si>
  <si>
    <t>JP</t>
  </si>
  <si>
    <t>-</t>
  </si>
  <si>
    <t>unknown</t>
  </si>
  <si>
    <t>Ambystomatidae</t>
  </si>
  <si>
    <t>Ambystoma</t>
  </si>
  <si>
    <t>LH</t>
  </si>
  <si>
    <t>CMN</t>
  </si>
  <si>
    <t>M</t>
  </si>
  <si>
    <t>Canada</t>
  </si>
  <si>
    <t>teaching</t>
  </si>
  <si>
    <t>F</t>
  </si>
  <si>
    <t>Québec</t>
  </si>
  <si>
    <t>USA</t>
  </si>
  <si>
    <t>Plethodontidae</t>
  </si>
  <si>
    <t>Eurycea</t>
  </si>
  <si>
    <t>Florida</t>
  </si>
  <si>
    <t>Plethodon</t>
  </si>
  <si>
    <t>New York</t>
  </si>
  <si>
    <t>Isthmura</t>
  </si>
  <si>
    <t>Isthmura bellii</t>
  </si>
  <si>
    <t>FMNH</t>
  </si>
  <si>
    <t>Mexico</t>
  </si>
  <si>
    <t>Michoacan</t>
  </si>
  <si>
    <t>Tancitaro</t>
  </si>
  <si>
    <t>Bolitoglossa</t>
  </si>
  <si>
    <t>KUBI</t>
  </si>
  <si>
    <t>Veracruz</t>
  </si>
  <si>
    <t>Costa Rica</t>
  </si>
  <si>
    <t>Oedipina</t>
  </si>
  <si>
    <t>Metamorph</t>
  </si>
  <si>
    <t>San Jose</t>
  </si>
  <si>
    <t>Hynobiidae</t>
  </si>
  <si>
    <t>Onychodactylus</t>
  </si>
  <si>
    <t>Russia</t>
  </si>
  <si>
    <t>Pseudoeurycea</t>
  </si>
  <si>
    <t>Quebec</t>
  </si>
  <si>
    <t>Hynobius</t>
  </si>
  <si>
    <t>MVZ</t>
  </si>
  <si>
    <t>Batrachoseps</t>
  </si>
  <si>
    <t>California</t>
  </si>
  <si>
    <t>Orick</t>
  </si>
  <si>
    <t>Long -124.05 Lat 41.2833</t>
  </si>
  <si>
    <t>N 41 17 00 W 124 03</t>
  </si>
  <si>
    <t>Desmognathus</t>
  </si>
  <si>
    <t>Ohio</t>
  </si>
  <si>
    <t>Salamandridae</t>
  </si>
  <si>
    <t>Lissotriton</t>
  </si>
  <si>
    <t>Plethodon vehiculum</t>
  </si>
  <si>
    <t>British Columbia</t>
  </si>
  <si>
    <t>Pennsylvania</t>
  </si>
  <si>
    <t>Ambystoma tigrinum</t>
  </si>
  <si>
    <t>Puebla</t>
  </si>
  <si>
    <t>Caldera Lake</t>
  </si>
  <si>
    <t>Hydromantes</t>
  </si>
  <si>
    <t>Hydromantes genei</t>
  </si>
  <si>
    <t>Italia</t>
  </si>
  <si>
    <t>Sardinia</t>
  </si>
  <si>
    <t>Grotta de su ventu</t>
  </si>
  <si>
    <t>Lissotriton montandoni</t>
  </si>
  <si>
    <t>Romania</t>
  </si>
  <si>
    <t>Oedipina complex</t>
  </si>
  <si>
    <t>Panama</t>
  </si>
  <si>
    <t>Taricha</t>
  </si>
  <si>
    <t>Taricha granulosa</t>
  </si>
  <si>
    <t>Mendocino Co, Gibson Creek</t>
  </si>
  <si>
    <t>Heredia</t>
  </si>
  <si>
    <t>Cartago</t>
  </si>
  <si>
    <t>Ecuador</t>
  </si>
  <si>
    <t>Guatemala</t>
  </si>
  <si>
    <t>Huehuetenango</t>
  </si>
  <si>
    <t>Chiropterotriton</t>
  </si>
  <si>
    <t>Hidalgo</t>
  </si>
  <si>
    <t>Oaxaca</t>
  </si>
  <si>
    <t>Thorius</t>
  </si>
  <si>
    <t>Thorius lunaris</t>
  </si>
  <si>
    <t>Guerrero</t>
  </si>
  <si>
    <t>Asoleadro</t>
  </si>
  <si>
    <t>Long -99.8500000 Lat 17.5800000 NAD27</t>
  </si>
  <si>
    <t>Llano de las Flores</t>
  </si>
  <si>
    <t>Long -96.4333330 Lat 17.4166670 NAD27</t>
  </si>
  <si>
    <t>Morphosource</t>
  </si>
  <si>
    <t>Morphosource (CSU)</t>
  </si>
  <si>
    <t>Plethodon dunni</t>
  </si>
  <si>
    <t>Washington</t>
  </si>
  <si>
    <t>Morphosource (FLMNH)</t>
  </si>
  <si>
    <t>Long -118.2799 Lat 36.83885</t>
  </si>
  <si>
    <t>China</t>
  </si>
  <si>
    <t>Nototriton</t>
  </si>
  <si>
    <t>Ambystoma andersoni</t>
  </si>
  <si>
    <t>East of Lake Zacapu</t>
  </si>
  <si>
    <t>Sirenidae</t>
  </si>
  <si>
    <t>Siren</t>
  </si>
  <si>
    <t>Siren intermedia</t>
  </si>
  <si>
    <t>Ambystoma mexicanum</t>
  </si>
  <si>
    <t>Pseudobranchus</t>
  </si>
  <si>
    <t>Pseudobranchus striatus</t>
  </si>
  <si>
    <t>Pachytriton</t>
  </si>
  <si>
    <t>Pachytriton brevipes</t>
  </si>
  <si>
    <t>AMNH</t>
  </si>
  <si>
    <t>Fujian</t>
  </si>
  <si>
    <t>Ambystoma gracile</t>
  </si>
  <si>
    <t>Cox Bay</t>
  </si>
  <si>
    <t>Long -125.867 Lat 49.1</t>
  </si>
  <si>
    <t>N 49 06 W 125 52 00</t>
  </si>
  <si>
    <t>Ambystoma laterale</t>
  </si>
  <si>
    <t>Montreal</t>
  </si>
  <si>
    <t>Long -73.5098 Lat 45.6774</t>
  </si>
  <si>
    <t>N 45 40 39 W 073 30 35</t>
  </si>
  <si>
    <t>Ambystoma opacum</t>
  </si>
  <si>
    <t>Louisiana</t>
  </si>
  <si>
    <t>Ambystoma texanum</t>
  </si>
  <si>
    <t>Missouri</t>
  </si>
  <si>
    <t>Duck Creek</t>
  </si>
  <si>
    <t>Long -90.0866 Lat 37.0629</t>
  </si>
  <si>
    <t>N 37 03 46 W 090 05 12</t>
  </si>
  <si>
    <t>Aneides</t>
  </si>
  <si>
    <t>Aneides ferreus</t>
  </si>
  <si>
    <t>Aneides vagrans</t>
  </si>
  <si>
    <t>Britiosh Columbia</t>
  </si>
  <si>
    <t>Hornby Island</t>
  </si>
  <si>
    <t>Long -124.667 Lat 49.5167</t>
  </si>
  <si>
    <t>N 49 31 00 W 124 40 00</t>
  </si>
  <si>
    <t>Aneides aeneus</t>
  </si>
  <si>
    <t>West Virginia</t>
  </si>
  <si>
    <t>Cooper's Rock</t>
  </si>
  <si>
    <t>Cynops</t>
  </si>
  <si>
    <t>Cynops pyrrhogaster</t>
  </si>
  <si>
    <t>Desmognathus fuscus</t>
  </si>
  <si>
    <t>Desmognathus monticola</t>
  </si>
  <si>
    <t>Wellesburg</t>
  </si>
  <si>
    <t>Long -78.85 Lat 39.7167</t>
  </si>
  <si>
    <t>N 39 43 00 W 078 51</t>
  </si>
  <si>
    <t>Ensatina</t>
  </si>
  <si>
    <t>Ensatina eschscholtzii</t>
  </si>
  <si>
    <t>Oregon</t>
  </si>
  <si>
    <t>Eugene</t>
  </si>
  <si>
    <t>Long -123.083 Lat 44.05</t>
  </si>
  <si>
    <t>N 44 03 W 123 05 00</t>
  </si>
  <si>
    <t>Eurycea bislineata</t>
  </si>
  <si>
    <t>Maryland</t>
  </si>
  <si>
    <t>Baltimore</t>
  </si>
  <si>
    <t>Eurycea lucifuga</t>
  </si>
  <si>
    <t>Renick (Norman Cave)</t>
  </si>
  <si>
    <t>Long -80.35 Lat 37.9833</t>
  </si>
  <si>
    <t>N 37 59 00 W 080 21</t>
  </si>
  <si>
    <t>Gyrinophilus</t>
  </si>
  <si>
    <t>Gyrinophilus porphyriticus</t>
  </si>
  <si>
    <t>Potton</t>
  </si>
  <si>
    <t>Long -72.3083 Lat 45.1306</t>
  </si>
  <si>
    <t>N 45 07 50 W 072 18 30</t>
  </si>
  <si>
    <t>Hemidactylum</t>
  </si>
  <si>
    <t>Hemidactylum scutatum</t>
  </si>
  <si>
    <t>Nova Scotia</t>
  </si>
  <si>
    <t>Bridgetown</t>
  </si>
  <si>
    <t>Long -62.9675 Lat 45.0044</t>
  </si>
  <si>
    <t>N 45 00 16 W 062 58 03</t>
  </si>
  <si>
    <t>Ichthyosaura</t>
  </si>
  <si>
    <t>Ichthyosaura alpestris</t>
  </si>
  <si>
    <t>Plethodon hoffmani</t>
  </si>
  <si>
    <t>Mills (Mount Union)</t>
  </si>
  <si>
    <t>Long -77.8333 Lat 40.4167</t>
  </si>
  <si>
    <t>N 40 25 00 W 077 50 00</t>
  </si>
  <si>
    <t>Plethodon glutinosus</t>
  </si>
  <si>
    <t>Ithaca (Fall Creek)</t>
  </si>
  <si>
    <t>Plethodon elongatus</t>
  </si>
  <si>
    <t>Gasquet</t>
  </si>
  <si>
    <t>Long -123.967 Lat 41.8333</t>
  </si>
  <si>
    <t>N 41 50 00 W 123 58 00</t>
  </si>
  <si>
    <t>Port Orford</t>
  </si>
  <si>
    <t>Long -124.483 Lat 42.7333</t>
  </si>
  <si>
    <t>N 42 44 00 W 124 29 00</t>
  </si>
  <si>
    <t>Rhyacotritonidae</t>
  </si>
  <si>
    <t>Rhyacotriton</t>
  </si>
  <si>
    <t>Rhyacotriton olympicus</t>
  </si>
  <si>
    <t>Gunter</t>
  </si>
  <si>
    <t>Long -123.5 Lat 43.7833</t>
  </si>
  <si>
    <t>N 43 47 00 W 123 30</t>
  </si>
  <si>
    <t>Hamilton Marsh</t>
  </si>
  <si>
    <t>Long -124.45 Lat 49.3167</t>
  </si>
  <si>
    <t>N 49 19 00 W 124 27</t>
  </si>
  <si>
    <t>Triturus</t>
  </si>
  <si>
    <t>Triturus cristatus</t>
  </si>
  <si>
    <t>Batrachuperus</t>
  </si>
  <si>
    <t>Batrachuperus pinchonii</t>
  </si>
  <si>
    <t>28148B</t>
  </si>
  <si>
    <t>Szechwan</t>
  </si>
  <si>
    <t>Weichow, Min Valley</t>
  </si>
  <si>
    <t>28148A</t>
  </si>
  <si>
    <t>Nevada de Toluca</t>
  </si>
  <si>
    <t>36885A</t>
  </si>
  <si>
    <t>Trinisul Jesus</t>
  </si>
  <si>
    <t>Aquiloeurycea</t>
  </si>
  <si>
    <t>Aquiloeurycea cephalica</t>
  </si>
  <si>
    <t>Lago Tejocotal</t>
  </si>
  <si>
    <t>Long -98.1333300 Lat 20.1333300 NAD27</t>
  </si>
  <si>
    <t>Batrachoseps pacificus</t>
  </si>
  <si>
    <t>Claremont</t>
  </si>
  <si>
    <t>Long -117.7254362 Lat 34.1077562 NAD27</t>
  </si>
  <si>
    <t>Bolitoglossa sima</t>
  </si>
  <si>
    <t>Pichincha</t>
  </si>
  <si>
    <t>Santo Domingo de los Colorados</t>
  </si>
  <si>
    <t>Long -79.1500000 Lat -0.2500000</t>
  </si>
  <si>
    <t>Bolitoglossa schizodactyla</t>
  </si>
  <si>
    <t>Veraguas</t>
  </si>
  <si>
    <t>mouth of Rio Concepcion</t>
  </si>
  <si>
    <t>Bolitoglossa rufescens</t>
  </si>
  <si>
    <t>Coscomatepec</t>
  </si>
  <si>
    <t>Long -97.0333333 Lat 19.0666667 NAD27</t>
  </si>
  <si>
    <t>Bolitoglossa chica</t>
  </si>
  <si>
    <t>Long -79.1550900 Lat -0.2632100 PRP_M</t>
  </si>
  <si>
    <t>Bolitoglossa subpalmata</t>
  </si>
  <si>
    <t>2 km N Las Nubes</t>
  </si>
  <si>
    <t>Long -83.9618700 Lat 10.0013500</t>
  </si>
  <si>
    <t>10.7 km SE El Empalme</t>
  </si>
  <si>
    <t>slope Cerro de la Muerte</t>
  </si>
  <si>
    <t>Bolitoglossa adspersa</t>
  </si>
  <si>
    <t>Columbia</t>
  </si>
  <si>
    <t>Cundinamarca</t>
  </si>
  <si>
    <t>Cerro Monserrate</t>
  </si>
  <si>
    <t>Bolitoglossa altamazonica</t>
  </si>
  <si>
    <t>Peru</t>
  </si>
  <si>
    <t>Loreto</t>
  </si>
  <si>
    <t>Rio Tahuayo</t>
  </si>
  <si>
    <t>Bolitoglossa helmrichi</t>
  </si>
  <si>
    <t>Baja Verapaz</t>
  </si>
  <si>
    <t>Purulha</t>
  </si>
  <si>
    <t>Chiropterotriton chiropterus</t>
  </si>
  <si>
    <t>Huatusco</t>
  </si>
  <si>
    <t>Long -95.1861667 Lat 18.6395000 NAD27</t>
  </si>
  <si>
    <t>Eurycea cirrigera</t>
  </si>
  <si>
    <t>Hamilton</t>
  </si>
  <si>
    <t>Long -84.6664986 Lat 39.2665629 NAD27</t>
  </si>
  <si>
    <t>Eurycea multiplicata</t>
  </si>
  <si>
    <t>Arkansas</t>
  </si>
  <si>
    <t>Blue Ball</t>
  </si>
  <si>
    <t>Hynobius leechii</t>
  </si>
  <si>
    <t>South Korea</t>
  </si>
  <si>
    <t>Kyonggi Do</t>
  </si>
  <si>
    <t>Chonmason</t>
  </si>
  <si>
    <t>Hynobius tsuensis</t>
  </si>
  <si>
    <t>Japan</t>
  </si>
  <si>
    <t>Fukuoka Prefecture</t>
  </si>
  <si>
    <t>Tsushima Island, Kechi</t>
  </si>
  <si>
    <t>Long 129.3109700 Lat 34.2672200</t>
  </si>
  <si>
    <t>14.4 km SW Toluca</t>
  </si>
  <si>
    <t>Long -99.8111111 Lat 19.2163889</t>
  </si>
  <si>
    <t>Nototriton picadoi</t>
  </si>
  <si>
    <t>Oedipina cyclocauda</t>
  </si>
  <si>
    <t>Limon</t>
  </si>
  <si>
    <t>Los Diamantes</t>
  </si>
  <si>
    <t>Long -83.7736700 Lat 10.2147300 Fundamental de Ocotepeque</t>
  </si>
  <si>
    <t>Pseudoeurycea rex</t>
  </si>
  <si>
    <t>Tojquia</t>
  </si>
  <si>
    <t>Pseudoeurycea leprosa</t>
  </si>
  <si>
    <t>Morelos</t>
  </si>
  <si>
    <t>slope Laguna Zempoala</t>
  </si>
  <si>
    <t>Salamandra</t>
  </si>
  <si>
    <t>Salamandra salamandra</t>
  </si>
  <si>
    <t>Portugal</t>
  </si>
  <si>
    <t>Estremadura</t>
  </si>
  <si>
    <t>Sintra</t>
  </si>
  <si>
    <t>Long -9.3833000 Lat 38.8000000</t>
  </si>
  <si>
    <t>Salamandrella</t>
  </si>
  <si>
    <t>Salamandrella keyserlingii</t>
  </si>
  <si>
    <t>Buryatia</t>
  </si>
  <si>
    <t>Lake Baikal</t>
  </si>
  <si>
    <t>Thorius pennatulus</t>
  </si>
  <si>
    <t>Cuautlapan</t>
  </si>
  <si>
    <t>Long -97.0333333 Lat 18.8666667 NAD27</t>
  </si>
  <si>
    <t>Thorius boreas</t>
  </si>
  <si>
    <t>Thorius spilogaster</t>
  </si>
  <si>
    <t>Pico de Orizaba (Xometla)</t>
  </si>
  <si>
    <t>Triturus marmoratus</t>
  </si>
  <si>
    <t>Algueirao-Sintra</t>
  </si>
  <si>
    <t>MWI 0042</t>
  </si>
  <si>
    <t>Pacific</t>
  </si>
  <si>
    <t>Plethodon vandykei</t>
  </si>
  <si>
    <t>MWI 0039</t>
  </si>
  <si>
    <t>MWI 0043</t>
  </si>
  <si>
    <t>Amphiumidae</t>
  </si>
  <si>
    <t>Amphiuma</t>
  </si>
  <si>
    <t>Amphiuma pholeter</t>
  </si>
  <si>
    <t>Liberty</t>
  </si>
  <si>
    <t>Long -84.96983 Lat 30.52511 WGS84</t>
  </si>
  <si>
    <t>Cryptobranchidae</t>
  </si>
  <si>
    <t>Cryptobranchus</t>
  </si>
  <si>
    <t>Cryptobranchus alleganiensis</t>
  </si>
  <si>
    <t>Phelps</t>
  </si>
  <si>
    <t>Dicamptodontidae</t>
  </si>
  <si>
    <t>Dicamptodon</t>
  </si>
  <si>
    <t>Dicamptodon ensatus</t>
  </si>
  <si>
    <t>Santa Cruz</t>
  </si>
  <si>
    <t>Hynobius nebulosus</t>
  </si>
  <si>
    <t>Morphosource (SMNS)</t>
  </si>
  <si>
    <t>Cryptotriton</t>
  </si>
  <si>
    <t>Cryptotriton veraepacis</t>
  </si>
  <si>
    <t>Long -90.17997 Lat 15.21454</t>
  </si>
  <si>
    <t>Dendrotriton</t>
  </si>
  <si>
    <t>Dendrotriton bromeliacius</t>
  </si>
  <si>
    <t>San Marcos</t>
  </si>
  <si>
    <t>Finca Insula</t>
  </si>
  <si>
    <t>Long -91.87052 Lat 14.96667</t>
  </si>
  <si>
    <t>Hydromantes platycephalus</t>
  </si>
  <si>
    <t>Californa</t>
  </si>
  <si>
    <t>Inyo County</t>
  </si>
  <si>
    <t>Lyciasalamandra</t>
  </si>
  <si>
    <t>Lyciasalamandra luschani</t>
  </si>
  <si>
    <t>Turkey</t>
  </si>
  <si>
    <t>Mulga</t>
  </si>
  <si>
    <t>Domuz Adasi</t>
  </si>
  <si>
    <t>Long 28.9 Lat 36.65</t>
  </si>
  <si>
    <t>Onychodactylus japonicus</t>
  </si>
  <si>
    <t>Tochigi</t>
  </si>
  <si>
    <t>Nikko</t>
  </si>
  <si>
    <t>N 36 45 20 E 139 36 26</t>
  </si>
  <si>
    <t>Batrachuperus tibetanus</t>
  </si>
  <si>
    <t>ROM</t>
  </si>
  <si>
    <t>Gansu</t>
  </si>
  <si>
    <t>Zhouqu</t>
  </si>
  <si>
    <t>Long 104.4847222 Lat 33.6016667</t>
  </si>
  <si>
    <t>N 333606 E 1042905</t>
  </si>
  <si>
    <t>Desmognathus ochrophaeus</t>
  </si>
  <si>
    <t>Delaware</t>
  </si>
  <si>
    <t>Tylototriton</t>
  </si>
  <si>
    <t>Tylototriton ziegleri</t>
  </si>
  <si>
    <t>Vietnam</t>
  </si>
  <si>
    <t>Cao Bang</t>
  </si>
  <si>
    <t>Quang Thanh</t>
  </si>
  <si>
    <t>Long 105.9127778 Lat 22.6286111</t>
  </si>
  <si>
    <t>N 223743 E 1055446</t>
  </si>
  <si>
    <t>N02</t>
  </si>
  <si>
    <t>N01</t>
  </si>
  <si>
    <t>Notophthalmus</t>
  </si>
  <si>
    <t>Notophthalmus viridescens</t>
  </si>
  <si>
    <t>T02</t>
  </si>
  <si>
    <t>T03</t>
  </si>
  <si>
    <t>Number of species needed</t>
  </si>
  <si>
    <t>Number of species in sample</t>
  </si>
  <si>
    <t>Andrias</t>
  </si>
  <si>
    <t>Bradytriton</t>
  </si>
  <si>
    <t>Calotriton</t>
  </si>
  <si>
    <t>Chioglossa</t>
  </si>
  <si>
    <t>Echinotriton</t>
  </si>
  <si>
    <t>Euproctus</t>
  </si>
  <si>
    <t>Hemidactylium</t>
  </si>
  <si>
    <t>Ixalotriton</t>
  </si>
  <si>
    <t>Karsenia</t>
  </si>
  <si>
    <t>Laotriton</t>
  </si>
  <si>
    <t>Liua</t>
  </si>
  <si>
    <t>Mertensiella</t>
  </si>
  <si>
    <t>Neurergus</t>
  </si>
  <si>
    <t>Nyctanolis</t>
  </si>
  <si>
    <t>Ommatotriton</t>
  </si>
  <si>
    <t>Pachyhynobius</t>
  </si>
  <si>
    <t>Paradactylodon</t>
  </si>
  <si>
    <t>Paramesotriton</t>
  </si>
  <si>
    <t>Parvimolge</t>
  </si>
  <si>
    <t>Phaeognathus</t>
  </si>
  <si>
    <t>Pleurodeles</t>
  </si>
  <si>
    <t>Proteus</t>
  </si>
  <si>
    <t>Pseudohynobius</t>
  </si>
  <si>
    <t>Pseudotriton</t>
  </si>
  <si>
    <t>Ranodon</t>
  </si>
  <si>
    <t>Salamandrina</t>
  </si>
  <si>
    <t>Stereochilus</t>
  </si>
  <si>
    <t>Urspelerpes</t>
  </si>
  <si>
    <t>Total</t>
  </si>
  <si>
    <t>Hynobius sonani</t>
  </si>
  <si>
    <t>Taiwan</t>
  </si>
  <si>
    <t>Mt Noko</t>
  </si>
  <si>
    <t>Tien Chi</t>
  </si>
  <si>
    <t>Long 121.24967 Lat 24.0389</t>
  </si>
  <si>
    <t>Pseudoeurycea saltator</t>
  </si>
  <si>
    <t>Vista Hermosa</t>
  </si>
  <si>
    <t>Long -94.9500000 Lat 16.6700000 NAD27</t>
  </si>
  <si>
    <t>Thorius macdougalli</t>
  </si>
  <si>
    <t>Hynobius yiwuensis</t>
  </si>
  <si>
    <t>Zhejiang</t>
  </si>
  <si>
    <t>Yue-Zhu</t>
  </si>
  <si>
    <t>N 29 27 46 E 120 18 10</t>
  </si>
  <si>
    <t>Not in a collection</t>
  </si>
  <si>
    <t>Morphosource ID</t>
  </si>
  <si>
    <t>AMAN</t>
  </si>
  <si>
    <t>AMGR</t>
  </si>
  <si>
    <t>AMLA</t>
  </si>
  <si>
    <t>AMME</t>
  </si>
  <si>
    <t>AMOP</t>
  </si>
  <si>
    <t>AMTE</t>
  </si>
  <si>
    <t>AMTI</t>
  </si>
  <si>
    <t>AMPH</t>
  </si>
  <si>
    <t>ANAE</t>
  </si>
  <si>
    <t>ANFE</t>
  </si>
  <si>
    <t>ANVA</t>
  </si>
  <si>
    <t>AQCE</t>
  </si>
  <si>
    <t>BAPA</t>
  </si>
  <si>
    <t>BAPI</t>
  </si>
  <si>
    <t>BATI</t>
  </si>
  <si>
    <t>BOAD</t>
  </si>
  <si>
    <t>BOAL</t>
  </si>
  <si>
    <t>BOCH</t>
  </si>
  <si>
    <t>BOHE</t>
  </si>
  <si>
    <t>BORU</t>
  </si>
  <si>
    <t>BOSC</t>
  </si>
  <si>
    <t>BOSI</t>
  </si>
  <si>
    <t>BOSU</t>
  </si>
  <si>
    <t>CHCH</t>
  </si>
  <si>
    <t>CRAL</t>
  </si>
  <si>
    <t>CRVE</t>
  </si>
  <si>
    <t>CYPY</t>
  </si>
  <si>
    <t>DEBR</t>
  </si>
  <si>
    <t>DEFU</t>
  </si>
  <si>
    <t>DEMO</t>
  </si>
  <si>
    <t>DEOC</t>
  </si>
  <si>
    <t>DIEN</t>
  </si>
  <si>
    <t>ENES</t>
  </si>
  <si>
    <t>EUBI</t>
  </si>
  <si>
    <t>EUCI</t>
  </si>
  <si>
    <t>EULU</t>
  </si>
  <si>
    <t>EUMU</t>
  </si>
  <si>
    <t>GYPO</t>
  </si>
  <si>
    <t>HESC</t>
  </si>
  <si>
    <t>HYGE</t>
  </si>
  <si>
    <t>HYPL</t>
  </si>
  <si>
    <t>HYLE</t>
  </si>
  <si>
    <t>HYNE</t>
  </si>
  <si>
    <t>HYSO</t>
  </si>
  <si>
    <t>HYTS</t>
  </si>
  <si>
    <t>HYYI</t>
  </si>
  <si>
    <t>ICAL</t>
  </si>
  <si>
    <t>ISBE</t>
  </si>
  <si>
    <t>LIMO</t>
  </si>
  <si>
    <t>LYLU</t>
  </si>
  <si>
    <t>NEMA</t>
  </si>
  <si>
    <t>NOVI</t>
  </si>
  <si>
    <t>NOPI</t>
  </si>
  <si>
    <t>OECO</t>
  </si>
  <si>
    <t>OECY</t>
  </si>
  <si>
    <t>ONJA</t>
  </si>
  <si>
    <t>PABR</t>
  </si>
  <si>
    <t>PLDU</t>
  </si>
  <si>
    <t>PLEL</t>
  </si>
  <si>
    <t>PLGL</t>
  </si>
  <si>
    <t>PLHO</t>
  </si>
  <si>
    <t>PLVA</t>
  </si>
  <si>
    <t>PLVE</t>
  </si>
  <si>
    <t>PSST</t>
  </si>
  <si>
    <t>PSLE</t>
  </si>
  <si>
    <t>PSRE</t>
  </si>
  <si>
    <t>PSSA</t>
  </si>
  <si>
    <t>RHOL</t>
  </si>
  <si>
    <t>SASA</t>
  </si>
  <si>
    <t>SAKE</t>
  </si>
  <si>
    <t>SIIN</t>
  </si>
  <si>
    <t>TAGR</t>
  </si>
  <si>
    <t>THBO</t>
  </si>
  <si>
    <t>THLU</t>
  </si>
  <si>
    <t>THMA</t>
  </si>
  <si>
    <t>THPE</t>
  </si>
  <si>
    <t>THSP</t>
  </si>
  <si>
    <t>TRCR</t>
  </si>
  <si>
    <t>TRMA</t>
  </si>
  <si>
    <t>TYZI</t>
  </si>
  <si>
    <t>Acronyms</t>
  </si>
  <si>
    <t>000779270</t>
  </si>
  <si>
    <t>URL Morphosource</t>
  </si>
  <si>
    <t>https://www.morphosource.org/concern/media/000779270?locale=en</t>
  </si>
  <si>
    <t>000777739</t>
  </si>
  <si>
    <t>https://www.morphosource.org/concern/media/000777739?locale=en</t>
  </si>
  <si>
    <t>000777734</t>
  </si>
  <si>
    <t>https://www.morphosource.org/concern/media/000777734?locale=en</t>
  </si>
  <si>
    <t>000777729</t>
  </si>
  <si>
    <t>https://www.morphosource.org/concern/media/000777729?locale=en</t>
  </si>
  <si>
    <t>000777724</t>
  </si>
  <si>
    <t>https://www.morphosource.org/concern/media/000777724?locale=en</t>
  </si>
  <si>
    <t>000777717</t>
  </si>
  <si>
    <t>https://www.morphosource.org/concern/media/000777717?locale=en</t>
  </si>
  <si>
    <t>000518007</t>
  </si>
  <si>
    <t>https://www.morphosource.org/concern/media/000518007?locale=en</t>
  </si>
  <si>
    <t>000518299</t>
  </si>
  <si>
    <t>https://www.morphosource.org/concern/media/000518299?locale=en</t>
  </si>
  <si>
    <t>000518335</t>
  </si>
  <si>
    <t>https://www.morphosource.org/concern/media/000518335?locale=en</t>
  </si>
  <si>
    <t>000774866</t>
  </si>
  <si>
    <t>https://www.morphosource.org/concern/media/000774866?locale=en</t>
  </si>
  <si>
    <t>000774878</t>
  </si>
  <si>
    <t>https://www.morphosource.org/concern/media/000774878/edit?locale=en</t>
  </si>
  <si>
    <t>Upcoming</t>
  </si>
  <si>
    <t>000386438</t>
  </si>
  <si>
    <t>https://www.morphosource.org/concern/media/000386438?locale=en</t>
  </si>
  <si>
    <t>000067236</t>
  </si>
  <si>
    <t>https://www.morphosource.org/concern/media/000067236?locale=en</t>
  </si>
  <si>
    <t>000159507</t>
  </si>
  <si>
    <t>https://www.morphosource.org/concern/media/000159507?locale=en</t>
  </si>
  <si>
    <t>000133947</t>
  </si>
  <si>
    <t>https://www.morphosource.org/concern/media/000133947?locale=en</t>
  </si>
  <si>
    <t>000433298</t>
  </si>
  <si>
    <t>https://www.morphosource.org/concern/media/000433298?locale=en</t>
  </si>
  <si>
    <t>000432922</t>
  </si>
  <si>
    <t>https://www.morphosource.org/concern/media/000432922?locale=en</t>
  </si>
  <si>
    <t>000433303</t>
  </si>
  <si>
    <t>https://www.morphosource.org/concern/media/000433303?locale=en</t>
  </si>
  <si>
    <t>000364327</t>
  </si>
  <si>
    <t>https://www.morphosource.org/concern/media/000364327?locale=en</t>
  </si>
  <si>
    <t>000857282</t>
  </si>
  <si>
    <t>https://www.morphosource.org/concern/media/000857282?locale=en</t>
  </si>
  <si>
    <t>000857293</t>
  </si>
  <si>
    <t>https://www.morphosource.org/concern/media/000857293?locale=en</t>
  </si>
  <si>
    <t>000857303</t>
  </si>
  <si>
    <t>https://www.morphosource.org/concern/media/000857303?locale=en</t>
  </si>
  <si>
    <t>000857500</t>
  </si>
  <si>
    <t>https://www.morphosource.org/concern/media/000857500?locale=en</t>
  </si>
  <si>
    <t>000857525</t>
  </si>
  <si>
    <t>https://www.morphosource.org/concern/media/000857525?locale=en</t>
  </si>
  <si>
    <t>000857532</t>
  </si>
  <si>
    <t>https://www.morphosource.org/concern/media/000857532?locale=en</t>
  </si>
  <si>
    <t>000857537</t>
  </si>
  <si>
    <t>https://www.morphosource.org/concern/media/000857537?locale=en</t>
  </si>
  <si>
    <t>000859397</t>
  </si>
  <si>
    <t>https://www.morphosource.org/concern/media/000859397?locale=en</t>
  </si>
  <si>
    <t>000859402</t>
  </si>
  <si>
    <t>https://www.morphosource.org/concern/media/000859402?locale=en</t>
  </si>
  <si>
    <t>000859407</t>
  </si>
  <si>
    <t>https://www.morphosource.org/concern/media/000859407?locale=en</t>
  </si>
  <si>
    <t>000859414</t>
  </si>
  <si>
    <t>https://www.morphosource.org/concern/media/000859414?locale=en</t>
  </si>
  <si>
    <t>000859426</t>
  </si>
  <si>
    <t>https://www.morphosource.org/concern/media/000859426?locale=en</t>
  </si>
  <si>
    <t>000859433</t>
  </si>
  <si>
    <t>https://www.morphosource.org/concern/media/000859433?locale=en</t>
  </si>
  <si>
    <t>000859442</t>
  </si>
  <si>
    <t>https://www.morphosource.org/concern/media/000859442?locale=en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</si>
</sst>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49" fontId="4" fillId="0" borderId="0" xfId="0" applyNumberFormat="1" applyFont="1" applyAlignment="1">
      <alignment wrapText="1"/>
    </xf>
    <xf numFmtId="49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D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42"/>
  <sheetViews>
    <sheetView tabSelected="1" topLeftCell="G1" workbookViewId="0">
      <pane ySplit="1" topLeftCell="A2" activePane="bottomLeft" state="frozen"/>
      <selection pane="bottomLeft" activeCell="S27" sqref="S27"/>
    </sheetView>
  </sheetViews>
  <sheetFormatPr baseColWidth="10" defaultColWidth="12.5703125" defaultRowHeight="15" customHeight="1" x14ac:dyDescent="0.2"/>
  <cols>
    <col min="1" max="1" width="16.140625" customWidth="1"/>
    <col min="2" max="2" width="15.7109375" customWidth="1"/>
    <col min="3" max="4" width="23.85546875" customWidth="1"/>
    <col min="5" max="5" width="14.7109375" customWidth="1"/>
    <col min="6" max="6" width="18.85546875" customWidth="1"/>
    <col min="7" max="7" width="23.140625" customWidth="1"/>
    <col min="8" max="8" width="18.42578125" customWidth="1"/>
    <col min="13" max="13" width="14.5703125" customWidth="1"/>
    <col min="14" max="14" width="15.28515625" customWidth="1"/>
    <col min="15" max="15" width="27" customWidth="1"/>
    <col min="16" max="16" width="35.42578125" customWidth="1"/>
    <col min="17" max="17" width="13.85546875" customWidth="1"/>
    <col min="18" max="18" width="34.7109375" style="7" customWidth="1"/>
    <col min="19" max="19" width="32.42578125" customWidth="1"/>
  </cols>
  <sheetData>
    <row r="1" spans="1:19" ht="15.75" customHeight="1" x14ac:dyDescent="0.2">
      <c r="A1" s="4" t="s">
        <v>0</v>
      </c>
      <c r="B1" s="4" t="s">
        <v>1</v>
      </c>
      <c r="C1" s="4" t="s">
        <v>2</v>
      </c>
      <c r="D1" s="4" t="s">
        <v>482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6" t="s">
        <v>401</v>
      </c>
      <c r="S1" s="4" t="s">
        <v>484</v>
      </c>
    </row>
    <row r="2" spans="1:19" ht="15.75" customHeight="1" x14ac:dyDescent="0.2">
      <c r="A2" s="3" t="s">
        <v>23</v>
      </c>
      <c r="B2" s="3" t="s">
        <v>24</v>
      </c>
      <c r="C2" s="3" t="s">
        <v>108</v>
      </c>
      <c r="D2" s="3" t="s">
        <v>402</v>
      </c>
      <c r="E2" s="3" t="s">
        <v>19</v>
      </c>
      <c r="F2" s="3" t="s">
        <v>25</v>
      </c>
      <c r="G2" s="3" t="s">
        <v>40</v>
      </c>
      <c r="H2" s="3">
        <v>228429</v>
      </c>
      <c r="I2" s="3">
        <v>179.84</v>
      </c>
      <c r="J2" s="3">
        <v>113.31</v>
      </c>
      <c r="K2" s="3">
        <v>65</v>
      </c>
      <c r="L2" s="3" t="s">
        <v>30</v>
      </c>
      <c r="M2" s="3" t="s">
        <v>41</v>
      </c>
      <c r="N2" s="3" t="s">
        <v>42</v>
      </c>
      <c r="O2" s="3" t="s">
        <v>109</v>
      </c>
      <c r="P2" s="3"/>
      <c r="Q2" s="3"/>
      <c r="R2" s="9" t="s">
        <v>527</v>
      </c>
      <c r="S2" t="s">
        <v>528</v>
      </c>
    </row>
    <row r="3" spans="1:19" ht="15.75" customHeight="1" x14ac:dyDescent="0.2">
      <c r="A3" s="3" t="s">
        <v>23</v>
      </c>
      <c r="B3" s="3" t="s">
        <v>24</v>
      </c>
      <c r="C3" s="3" t="s">
        <v>120</v>
      </c>
      <c r="D3" s="3" t="s">
        <v>403</v>
      </c>
      <c r="E3" s="3" t="s">
        <v>49</v>
      </c>
      <c r="F3" s="3" t="s">
        <v>25</v>
      </c>
      <c r="G3" s="3" t="s">
        <v>26</v>
      </c>
      <c r="H3" s="3">
        <v>18713</v>
      </c>
      <c r="I3" s="3">
        <v>154.93</v>
      </c>
      <c r="J3" s="3">
        <v>72.91</v>
      </c>
      <c r="K3" s="3">
        <v>15</v>
      </c>
      <c r="L3" s="3" t="s">
        <v>27</v>
      </c>
      <c r="M3" s="3" t="s">
        <v>28</v>
      </c>
      <c r="N3" s="3" t="s">
        <v>68</v>
      </c>
      <c r="O3" s="3" t="s">
        <v>121</v>
      </c>
      <c r="P3" s="3" t="s">
        <v>122</v>
      </c>
      <c r="Q3" s="3" t="s">
        <v>123</v>
      </c>
      <c r="R3" s="9" t="s">
        <v>506</v>
      </c>
    </row>
    <row r="4" spans="1:19" ht="15.75" customHeight="1" x14ac:dyDescent="0.2">
      <c r="A4" s="3" t="s">
        <v>23</v>
      </c>
      <c r="B4" s="3" t="s">
        <v>24</v>
      </c>
      <c r="C4" s="3" t="s">
        <v>124</v>
      </c>
      <c r="D4" s="3" t="s">
        <v>404</v>
      </c>
      <c r="E4" s="3" t="s">
        <v>49</v>
      </c>
      <c r="F4" s="3" t="s">
        <v>25</v>
      </c>
      <c r="G4" s="3" t="s">
        <v>26</v>
      </c>
      <c r="H4" s="3">
        <v>36591</v>
      </c>
      <c r="I4" s="3">
        <v>135.97999999999999</v>
      </c>
      <c r="J4" s="3">
        <v>70.75</v>
      </c>
      <c r="K4" s="3">
        <v>9</v>
      </c>
      <c r="L4" s="3" t="s">
        <v>30</v>
      </c>
      <c r="M4" s="3" t="s">
        <v>28</v>
      </c>
      <c r="N4" s="3" t="s">
        <v>55</v>
      </c>
      <c r="O4" s="3" t="s">
        <v>125</v>
      </c>
      <c r="P4" s="3" t="s">
        <v>126</v>
      </c>
      <c r="Q4" s="3" t="s">
        <v>127</v>
      </c>
      <c r="R4" s="9" t="s">
        <v>506</v>
      </c>
    </row>
    <row r="5" spans="1:19" ht="15.75" customHeight="1" x14ac:dyDescent="0.2">
      <c r="A5" s="3" t="s">
        <v>23</v>
      </c>
      <c r="B5" s="3" t="s">
        <v>24</v>
      </c>
      <c r="C5" s="3" t="s">
        <v>113</v>
      </c>
      <c r="D5" s="3" t="s">
        <v>405</v>
      </c>
      <c r="E5" s="3" t="s">
        <v>19</v>
      </c>
      <c r="F5" s="3" t="s">
        <v>20</v>
      </c>
      <c r="G5" s="3" t="s">
        <v>400</v>
      </c>
      <c r="H5" s="3" t="s">
        <v>400</v>
      </c>
      <c r="I5" s="3"/>
      <c r="J5" s="3"/>
      <c r="K5" s="3"/>
      <c r="L5" s="3"/>
      <c r="M5" s="3" t="s">
        <v>22</v>
      </c>
      <c r="N5" s="3" t="s">
        <v>22</v>
      </c>
      <c r="O5" s="3" t="s">
        <v>22</v>
      </c>
      <c r="P5" s="3" t="s">
        <v>21</v>
      </c>
      <c r="Q5" s="3" t="s">
        <v>21</v>
      </c>
      <c r="R5" s="9"/>
    </row>
    <row r="6" spans="1:19" ht="15.75" customHeight="1" x14ac:dyDescent="0.2">
      <c r="A6" s="3" t="s">
        <v>23</v>
      </c>
      <c r="B6" s="3" t="s">
        <v>24</v>
      </c>
      <c r="C6" s="3" t="s">
        <v>128</v>
      </c>
      <c r="D6" s="3" t="s">
        <v>406</v>
      </c>
      <c r="E6" s="3" t="s">
        <v>49</v>
      </c>
      <c r="F6" s="3" t="s">
        <v>25</v>
      </c>
      <c r="G6" s="3" t="s">
        <v>26</v>
      </c>
      <c r="H6" s="3">
        <v>12497</v>
      </c>
      <c r="I6" s="3">
        <v>96.37</v>
      </c>
      <c r="J6" s="3">
        <v>53.58</v>
      </c>
      <c r="K6" s="3">
        <v>7</v>
      </c>
      <c r="L6" s="3" t="s">
        <v>27</v>
      </c>
      <c r="M6" s="3" t="s">
        <v>32</v>
      </c>
      <c r="N6" s="3" t="s">
        <v>129</v>
      </c>
      <c r="O6" s="3" t="s">
        <v>103</v>
      </c>
      <c r="P6" s="3" t="s">
        <v>21</v>
      </c>
      <c r="Q6" s="3" t="s">
        <v>21</v>
      </c>
      <c r="R6" s="9" t="s">
        <v>506</v>
      </c>
    </row>
    <row r="7" spans="1:19" ht="15.75" customHeight="1" x14ac:dyDescent="0.2">
      <c r="A7" s="3" t="s">
        <v>23</v>
      </c>
      <c r="B7" s="3" t="s">
        <v>24</v>
      </c>
      <c r="C7" s="3" t="s">
        <v>130</v>
      </c>
      <c r="D7" s="3" t="s">
        <v>407</v>
      </c>
      <c r="E7" s="3" t="s">
        <v>49</v>
      </c>
      <c r="F7" s="3" t="s">
        <v>25</v>
      </c>
      <c r="G7" s="3" t="s">
        <v>26</v>
      </c>
      <c r="H7" s="3">
        <v>10211</v>
      </c>
      <c r="I7" s="3">
        <v>109.05</v>
      </c>
      <c r="J7" s="3">
        <v>66.45</v>
      </c>
      <c r="K7" s="3">
        <v>5</v>
      </c>
      <c r="L7" s="3" t="s">
        <v>30</v>
      </c>
      <c r="M7" s="3" t="s">
        <v>32</v>
      </c>
      <c r="N7" s="3" t="s">
        <v>131</v>
      </c>
      <c r="O7" s="3" t="s">
        <v>132</v>
      </c>
      <c r="P7" s="3" t="s">
        <v>133</v>
      </c>
      <c r="Q7" s="3" t="s">
        <v>134</v>
      </c>
      <c r="R7" s="9" t="s">
        <v>506</v>
      </c>
    </row>
    <row r="8" spans="1:19" ht="15.75" customHeight="1" x14ac:dyDescent="0.2">
      <c r="A8" s="3" t="s">
        <v>23</v>
      </c>
      <c r="B8" s="3" t="s">
        <v>24</v>
      </c>
      <c r="C8" s="3" t="s">
        <v>70</v>
      </c>
      <c r="D8" s="3" t="s">
        <v>408</v>
      </c>
      <c r="E8" s="3" t="s">
        <v>19</v>
      </c>
      <c r="F8" s="3" t="s">
        <v>25</v>
      </c>
      <c r="G8" s="3" t="s">
        <v>40</v>
      </c>
      <c r="H8" s="3">
        <v>228531</v>
      </c>
      <c r="I8" s="3">
        <v>152.01</v>
      </c>
      <c r="J8" s="3">
        <v>93.88</v>
      </c>
      <c r="K8" s="3">
        <v>37</v>
      </c>
      <c r="L8" s="3" t="s">
        <v>30</v>
      </c>
      <c r="M8" s="3" t="s">
        <v>41</v>
      </c>
      <c r="N8" s="3" t="s">
        <v>71</v>
      </c>
      <c r="O8" s="3" t="s">
        <v>72</v>
      </c>
      <c r="P8" s="3"/>
      <c r="Q8" s="3"/>
      <c r="R8" s="9" t="s">
        <v>506</v>
      </c>
    </row>
    <row r="9" spans="1:19" ht="15.75" customHeight="1" x14ac:dyDescent="0.2">
      <c r="A9" s="3" t="s">
        <v>299</v>
      </c>
      <c r="B9" s="3" t="s">
        <v>300</v>
      </c>
      <c r="C9" s="3" t="s">
        <v>301</v>
      </c>
      <c r="D9" s="3" t="s">
        <v>409</v>
      </c>
      <c r="E9" s="3" t="s">
        <v>19</v>
      </c>
      <c r="F9" s="3" t="s">
        <v>100</v>
      </c>
      <c r="G9" s="3" t="s">
        <v>104</v>
      </c>
      <c r="H9" s="3">
        <v>162027</v>
      </c>
      <c r="I9" s="3"/>
      <c r="J9" s="3"/>
      <c r="K9" s="3"/>
      <c r="L9" s="3" t="s">
        <v>27</v>
      </c>
      <c r="M9" s="3" t="s">
        <v>32</v>
      </c>
      <c r="N9" s="3" t="s">
        <v>35</v>
      </c>
      <c r="O9" s="3" t="s">
        <v>302</v>
      </c>
      <c r="P9" s="3" t="s">
        <v>303</v>
      </c>
      <c r="Q9" s="3" t="s">
        <v>21</v>
      </c>
      <c r="R9" s="9" t="s">
        <v>507</v>
      </c>
      <c r="S9" t="s">
        <v>508</v>
      </c>
    </row>
    <row r="10" spans="1:19" ht="15.75" customHeight="1" x14ac:dyDescent="0.2">
      <c r="A10" s="3" t="s">
        <v>33</v>
      </c>
      <c r="B10" s="3" t="s">
        <v>135</v>
      </c>
      <c r="C10" s="3" t="s">
        <v>142</v>
      </c>
      <c r="D10" s="3" t="s">
        <v>410</v>
      </c>
      <c r="E10" s="3" t="s">
        <v>49</v>
      </c>
      <c r="F10" s="3" t="s">
        <v>25</v>
      </c>
      <c r="G10" s="3" t="s">
        <v>26</v>
      </c>
      <c r="H10" s="3">
        <v>7556</v>
      </c>
      <c r="I10" s="3">
        <v>104.34</v>
      </c>
      <c r="J10" s="3">
        <v>46.11</v>
      </c>
      <c r="K10" s="3">
        <v>2</v>
      </c>
      <c r="L10" s="3"/>
      <c r="M10" s="3" t="s">
        <v>32</v>
      </c>
      <c r="N10" s="3" t="s">
        <v>143</v>
      </c>
      <c r="O10" s="3" t="s">
        <v>144</v>
      </c>
      <c r="P10" s="3" t="s">
        <v>21</v>
      </c>
      <c r="Q10" s="3" t="s">
        <v>21</v>
      </c>
      <c r="R10" s="9" t="s">
        <v>506</v>
      </c>
    </row>
    <row r="11" spans="1:19" ht="15.75" customHeight="1" x14ac:dyDescent="0.2">
      <c r="A11" s="3" t="s">
        <v>33</v>
      </c>
      <c r="B11" s="3" t="s">
        <v>135</v>
      </c>
      <c r="C11" s="3" t="s">
        <v>136</v>
      </c>
      <c r="D11" s="3" t="s">
        <v>411</v>
      </c>
      <c r="E11" s="3" t="s">
        <v>49</v>
      </c>
      <c r="F11" s="3" t="s">
        <v>25</v>
      </c>
      <c r="G11" s="3" t="s">
        <v>26</v>
      </c>
      <c r="H11" s="3">
        <v>34740</v>
      </c>
      <c r="I11" s="3">
        <v>108.45</v>
      </c>
      <c r="J11" s="3">
        <v>63.54</v>
      </c>
      <c r="K11" s="3">
        <v>5</v>
      </c>
      <c r="L11" s="3"/>
      <c r="M11" s="3" t="s">
        <v>32</v>
      </c>
      <c r="N11" s="3" t="s">
        <v>59</v>
      </c>
      <c r="O11" s="3" t="s">
        <v>60</v>
      </c>
      <c r="P11" s="3" t="s">
        <v>61</v>
      </c>
      <c r="Q11" s="3" t="s">
        <v>62</v>
      </c>
      <c r="R11" s="9" t="s">
        <v>506</v>
      </c>
    </row>
    <row r="12" spans="1:19" ht="15.75" customHeight="1" x14ac:dyDescent="0.2">
      <c r="A12" s="3" t="s">
        <v>33</v>
      </c>
      <c r="B12" s="3" t="s">
        <v>135</v>
      </c>
      <c r="C12" s="3" t="s">
        <v>137</v>
      </c>
      <c r="D12" s="3" t="s">
        <v>412</v>
      </c>
      <c r="E12" s="3" t="s">
        <v>49</v>
      </c>
      <c r="F12" s="3" t="s">
        <v>25</v>
      </c>
      <c r="G12" s="3" t="s">
        <v>26</v>
      </c>
      <c r="H12" s="3">
        <v>1554</v>
      </c>
      <c r="I12" s="3">
        <v>114.22</v>
      </c>
      <c r="J12" s="3">
        <v>63.62</v>
      </c>
      <c r="K12" s="3">
        <v>4.9000000000000004</v>
      </c>
      <c r="L12" s="3"/>
      <c r="M12" s="3" t="s">
        <v>28</v>
      </c>
      <c r="N12" s="3" t="s">
        <v>138</v>
      </c>
      <c r="O12" s="3" t="s">
        <v>139</v>
      </c>
      <c r="P12" s="3" t="s">
        <v>140</v>
      </c>
      <c r="Q12" s="3" t="s">
        <v>141</v>
      </c>
      <c r="R12" s="9" t="s">
        <v>506</v>
      </c>
    </row>
    <row r="13" spans="1:19" ht="15.75" customHeight="1" x14ac:dyDescent="0.2">
      <c r="A13" s="3" t="s">
        <v>33</v>
      </c>
      <c r="B13" s="3" t="s">
        <v>211</v>
      </c>
      <c r="C13" s="3" t="s">
        <v>212</v>
      </c>
      <c r="D13" s="3" t="s">
        <v>413</v>
      </c>
      <c r="E13" s="3" t="s">
        <v>49</v>
      </c>
      <c r="F13" s="3" t="s">
        <v>25</v>
      </c>
      <c r="G13" s="3" t="s">
        <v>45</v>
      </c>
      <c r="H13" s="3">
        <v>53962</v>
      </c>
      <c r="I13" s="3">
        <v>76.84</v>
      </c>
      <c r="J13" s="3">
        <v>42.15</v>
      </c>
      <c r="K13" s="3">
        <v>2.1</v>
      </c>
      <c r="L13" s="3"/>
      <c r="M13" s="3" t="s">
        <v>41</v>
      </c>
      <c r="N13" s="3" t="s">
        <v>91</v>
      </c>
      <c r="O13" s="3" t="s">
        <v>213</v>
      </c>
      <c r="P13" s="3" t="s">
        <v>214</v>
      </c>
      <c r="Q13" s="3" t="s">
        <v>21</v>
      </c>
      <c r="R13" s="9" t="s">
        <v>523</v>
      </c>
      <c r="S13" t="s">
        <v>524</v>
      </c>
    </row>
    <row r="14" spans="1:19" ht="15.75" customHeight="1" x14ac:dyDescent="0.2">
      <c r="A14" s="3" t="s">
        <v>33</v>
      </c>
      <c r="B14" s="3" t="s">
        <v>58</v>
      </c>
      <c r="C14" s="3" t="s">
        <v>215</v>
      </c>
      <c r="D14" s="3" t="s">
        <v>414</v>
      </c>
      <c r="E14" s="3" t="s">
        <v>49</v>
      </c>
      <c r="F14" s="3" t="s">
        <v>25</v>
      </c>
      <c r="G14" s="3" t="s">
        <v>45</v>
      </c>
      <c r="H14" s="3">
        <v>17849</v>
      </c>
      <c r="I14" s="3">
        <v>120.14</v>
      </c>
      <c r="J14" s="3">
        <v>52.25</v>
      </c>
      <c r="K14" s="3">
        <v>2.5</v>
      </c>
      <c r="L14" s="3"/>
      <c r="M14" s="3" t="s">
        <v>32</v>
      </c>
      <c r="N14" s="3" t="s">
        <v>59</v>
      </c>
      <c r="O14" s="3" t="s">
        <v>216</v>
      </c>
      <c r="P14" s="3" t="s">
        <v>217</v>
      </c>
      <c r="Q14" s="3" t="s">
        <v>21</v>
      </c>
      <c r="R14" s="9" t="s">
        <v>525</v>
      </c>
      <c r="S14" t="s">
        <v>526</v>
      </c>
    </row>
    <row r="15" spans="1:19" ht="15.75" customHeight="1" x14ac:dyDescent="0.2">
      <c r="A15" s="3" t="s">
        <v>51</v>
      </c>
      <c r="B15" s="3" t="s">
        <v>202</v>
      </c>
      <c r="C15" s="3" t="s">
        <v>203</v>
      </c>
      <c r="D15" s="3" t="s">
        <v>415</v>
      </c>
      <c r="E15" s="3" t="s">
        <v>49</v>
      </c>
      <c r="F15" s="3" t="s">
        <v>25</v>
      </c>
      <c r="G15" s="3" t="s">
        <v>40</v>
      </c>
      <c r="H15" s="3" t="s">
        <v>204</v>
      </c>
      <c r="I15" s="3">
        <v>148.38</v>
      </c>
      <c r="J15" s="3">
        <v>70</v>
      </c>
      <c r="K15" s="3">
        <v>11.5</v>
      </c>
      <c r="L15" s="3" t="s">
        <v>27</v>
      </c>
      <c r="M15" s="3" t="s">
        <v>106</v>
      </c>
      <c r="N15" s="3" t="s">
        <v>205</v>
      </c>
      <c r="O15" s="3" t="s">
        <v>206</v>
      </c>
      <c r="P15" s="3"/>
      <c r="Q15" s="3"/>
      <c r="R15" s="7" t="s">
        <v>504</v>
      </c>
      <c r="S15" t="s">
        <v>505</v>
      </c>
    </row>
    <row r="16" spans="1:19" ht="15.75" customHeight="1" x14ac:dyDescent="0.2">
      <c r="A16" s="3" t="s">
        <v>51</v>
      </c>
      <c r="B16" s="3" t="s">
        <v>202</v>
      </c>
      <c r="C16" s="3" t="s">
        <v>203</v>
      </c>
      <c r="D16" s="3" t="s">
        <v>415</v>
      </c>
      <c r="E16" s="3" t="s">
        <v>49</v>
      </c>
      <c r="F16" s="3" t="s">
        <v>25</v>
      </c>
      <c r="G16" s="3" t="s">
        <v>40</v>
      </c>
      <c r="H16" s="3" t="s">
        <v>207</v>
      </c>
      <c r="I16" s="3">
        <v>139.76</v>
      </c>
      <c r="J16" s="3">
        <v>58.45</v>
      </c>
      <c r="K16" s="3">
        <v>10</v>
      </c>
      <c r="L16" s="3" t="s">
        <v>30</v>
      </c>
      <c r="M16" s="3" t="s">
        <v>106</v>
      </c>
      <c r="N16" s="3" t="s">
        <v>205</v>
      </c>
      <c r="O16" s="3" t="s">
        <v>206</v>
      </c>
      <c r="P16" s="3"/>
      <c r="Q16" s="3"/>
      <c r="R16" s="7" t="s">
        <v>502</v>
      </c>
      <c r="S16" t="s">
        <v>503</v>
      </c>
    </row>
    <row r="17" spans="1:19" ht="15.75" customHeight="1" x14ac:dyDescent="0.2">
      <c r="A17" s="3" t="s">
        <v>51</v>
      </c>
      <c r="B17" s="3" t="s">
        <v>202</v>
      </c>
      <c r="C17" s="3" t="s">
        <v>335</v>
      </c>
      <c r="D17" s="3" t="s">
        <v>416</v>
      </c>
      <c r="E17" s="3" t="s">
        <v>49</v>
      </c>
      <c r="F17" s="3" t="s">
        <v>25</v>
      </c>
      <c r="G17" s="3" t="s">
        <v>336</v>
      </c>
      <c r="H17" s="3">
        <v>40080</v>
      </c>
      <c r="I17" s="3">
        <v>131.49</v>
      </c>
      <c r="J17" s="3">
        <v>65.319999999999993</v>
      </c>
      <c r="K17" s="3">
        <v>7.5</v>
      </c>
      <c r="L17" s="3"/>
      <c r="M17" s="3" t="s">
        <v>106</v>
      </c>
      <c r="N17" s="3" t="s">
        <v>337</v>
      </c>
      <c r="O17" s="3" t="s">
        <v>338</v>
      </c>
      <c r="P17" s="3" t="s">
        <v>339</v>
      </c>
      <c r="Q17" s="3" t="s">
        <v>340</v>
      </c>
      <c r="R17" s="7" t="s">
        <v>500</v>
      </c>
      <c r="S17" t="s">
        <v>501</v>
      </c>
    </row>
    <row r="18" spans="1:19" ht="15.75" customHeight="1" x14ac:dyDescent="0.2">
      <c r="A18" s="3" t="s">
        <v>33</v>
      </c>
      <c r="B18" s="3" t="s">
        <v>44</v>
      </c>
      <c r="C18" s="3" t="s">
        <v>235</v>
      </c>
      <c r="D18" s="3" t="s">
        <v>417</v>
      </c>
      <c r="E18" s="3" t="s">
        <v>49</v>
      </c>
      <c r="F18" s="3" t="s">
        <v>25</v>
      </c>
      <c r="G18" s="3" t="s">
        <v>45</v>
      </c>
      <c r="H18" s="3">
        <v>110367</v>
      </c>
      <c r="I18" s="3">
        <v>100.75</v>
      </c>
      <c r="J18" s="3">
        <v>54.33</v>
      </c>
      <c r="K18" s="3">
        <v>2</v>
      </c>
      <c r="L18" s="3"/>
      <c r="M18" s="3" t="s">
        <v>236</v>
      </c>
      <c r="N18" s="3" t="s">
        <v>237</v>
      </c>
      <c r="O18" s="3" t="s">
        <v>238</v>
      </c>
      <c r="P18" s="3" t="s">
        <v>21</v>
      </c>
      <c r="Q18" s="3" t="s">
        <v>21</v>
      </c>
      <c r="R18" s="9" t="s">
        <v>529</v>
      </c>
      <c r="S18" t="s">
        <v>530</v>
      </c>
    </row>
    <row r="19" spans="1:19" ht="15.75" customHeight="1" x14ac:dyDescent="0.2">
      <c r="A19" s="3" t="s">
        <v>33</v>
      </c>
      <c r="B19" s="3" t="s">
        <v>44</v>
      </c>
      <c r="C19" s="3" t="s">
        <v>239</v>
      </c>
      <c r="D19" s="3" t="s">
        <v>418</v>
      </c>
      <c r="E19" s="3" t="s">
        <v>49</v>
      </c>
      <c r="F19" s="3" t="s">
        <v>25</v>
      </c>
      <c r="G19" s="3" t="s">
        <v>45</v>
      </c>
      <c r="H19" s="3">
        <v>220585</v>
      </c>
      <c r="I19" s="3">
        <v>98.96</v>
      </c>
      <c r="J19" s="3">
        <v>47.17</v>
      </c>
      <c r="K19" s="3">
        <v>1.9</v>
      </c>
      <c r="L19" s="3"/>
      <c r="M19" s="3" t="s">
        <v>240</v>
      </c>
      <c r="N19" s="3" t="s">
        <v>241</v>
      </c>
      <c r="O19" s="3" t="s">
        <v>242</v>
      </c>
      <c r="P19" s="3" t="s">
        <v>21</v>
      </c>
      <c r="Q19" s="3" t="s">
        <v>21</v>
      </c>
      <c r="R19" s="9" t="s">
        <v>531</v>
      </c>
      <c r="S19" t="s">
        <v>532</v>
      </c>
    </row>
    <row r="20" spans="1:19" ht="15.75" customHeight="1" x14ac:dyDescent="0.2">
      <c r="A20" s="3" t="s">
        <v>33</v>
      </c>
      <c r="B20" s="3" t="s">
        <v>44</v>
      </c>
      <c r="C20" s="3" t="s">
        <v>228</v>
      </c>
      <c r="D20" s="3" t="s">
        <v>419</v>
      </c>
      <c r="E20" s="3" t="s">
        <v>49</v>
      </c>
      <c r="F20" s="3" t="s">
        <v>25</v>
      </c>
      <c r="G20" s="3" t="s">
        <v>45</v>
      </c>
      <c r="H20" s="3">
        <v>179519</v>
      </c>
      <c r="I20" s="3">
        <v>65.510000000000005</v>
      </c>
      <c r="J20" s="3">
        <v>35.17</v>
      </c>
      <c r="K20" s="3">
        <v>1</v>
      </c>
      <c r="L20" s="3"/>
      <c r="M20" s="3" t="s">
        <v>87</v>
      </c>
      <c r="N20" s="3" t="s">
        <v>219</v>
      </c>
      <c r="O20" s="3" t="s">
        <v>220</v>
      </c>
      <c r="P20" s="3" t="s">
        <v>229</v>
      </c>
      <c r="Q20" s="3" t="s">
        <v>21</v>
      </c>
      <c r="R20" s="9" t="s">
        <v>533</v>
      </c>
      <c r="S20" t="s">
        <v>534</v>
      </c>
    </row>
    <row r="21" spans="1:19" ht="15.75" customHeight="1" x14ac:dyDescent="0.2">
      <c r="A21" s="3" t="s">
        <v>33</v>
      </c>
      <c r="B21" s="3" t="s">
        <v>44</v>
      </c>
      <c r="C21" s="3" t="s">
        <v>243</v>
      </c>
      <c r="D21" s="3" t="s">
        <v>420</v>
      </c>
      <c r="E21" s="3" t="s">
        <v>49</v>
      </c>
      <c r="F21" s="3" t="s">
        <v>25</v>
      </c>
      <c r="G21" s="3" t="s">
        <v>45</v>
      </c>
      <c r="H21" s="3">
        <v>186122</v>
      </c>
      <c r="I21" s="3">
        <v>89.94</v>
      </c>
      <c r="J21" s="3">
        <v>46.51</v>
      </c>
      <c r="K21" s="3">
        <v>1.8</v>
      </c>
      <c r="L21" s="3" t="s">
        <v>27</v>
      </c>
      <c r="M21" s="3" t="s">
        <v>88</v>
      </c>
      <c r="N21" s="3" t="s">
        <v>244</v>
      </c>
      <c r="O21" s="3" t="s">
        <v>245</v>
      </c>
      <c r="P21" s="3" t="s">
        <v>21</v>
      </c>
      <c r="Q21" s="3" t="s">
        <v>21</v>
      </c>
      <c r="R21" s="9" t="s">
        <v>535</v>
      </c>
      <c r="S21" t="s">
        <v>536</v>
      </c>
    </row>
    <row r="22" spans="1:19" ht="15.75" customHeight="1" x14ac:dyDescent="0.2">
      <c r="A22" s="3" t="s">
        <v>33</v>
      </c>
      <c r="B22" s="3" t="s">
        <v>44</v>
      </c>
      <c r="C22" s="11" t="s">
        <v>225</v>
      </c>
      <c r="D22" s="3" t="s">
        <v>421</v>
      </c>
      <c r="E22" s="3" t="s">
        <v>49</v>
      </c>
      <c r="F22" s="3" t="s">
        <v>25</v>
      </c>
      <c r="G22" s="3" t="s">
        <v>45</v>
      </c>
      <c r="H22" s="3">
        <v>26222</v>
      </c>
      <c r="I22" s="3">
        <v>60.87</v>
      </c>
      <c r="J22" s="3">
        <v>34.26</v>
      </c>
      <c r="K22" s="3">
        <v>1.1000000000000001</v>
      </c>
      <c r="L22" s="3" t="s">
        <v>27</v>
      </c>
      <c r="M22" s="3" t="s">
        <v>41</v>
      </c>
      <c r="N22" s="3" t="s">
        <v>46</v>
      </c>
      <c r="O22" s="3" t="s">
        <v>226</v>
      </c>
      <c r="P22" s="3" t="s">
        <v>227</v>
      </c>
      <c r="Q22" s="3" t="s">
        <v>21</v>
      </c>
      <c r="R22" s="9" t="s">
        <v>539</v>
      </c>
      <c r="S22" t="s">
        <v>540</v>
      </c>
    </row>
    <row r="23" spans="1:19" ht="15.75" customHeight="1" x14ac:dyDescent="0.2">
      <c r="A23" s="3" t="s">
        <v>33</v>
      </c>
      <c r="B23" s="3" t="s">
        <v>44</v>
      </c>
      <c r="C23" s="11" t="s">
        <v>222</v>
      </c>
      <c r="D23" s="3" t="s">
        <v>422</v>
      </c>
      <c r="E23" s="3" t="s">
        <v>49</v>
      </c>
      <c r="F23" s="3" t="s">
        <v>25</v>
      </c>
      <c r="G23" s="3" t="s">
        <v>45</v>
      </c>
      <c r="H23" s="3">
        <v>116639</v>
      </c>
      <c r="I23" s="3">
        <v>119.9</v>
      </c>
      <c r="J23" s="3">
        <v>54.81</v>
      </c>
      <c r="K23" s="3">
        <v>4</v>
      </c>
      <c r="L23" s="3"/>
      <c r="M23" s="3" t="s">
        <v>81</v>
      </c>
      <c r="N23" s="3" t="s">
        <v>223</v>
      </c>
      <c r="O23" s="3" t="s">
        <v>224</v>
      </c>
      <c r="P23" s="3" t="s">
        <v>21</v>
      </c>
      <c r="Q23" s="3" t="s">
        <v>21</v>
      </c>
      <c r="R23" s="9" t="s">
        <v>537</v>
      </c>
      <c r="S23" t="s">
        <v>538</v>
      </c>
    </row>
    <row r="24" spans="1:19" ht="15.75" customHeight="1" x14ac:dyDescent="0.2">
      <c r="A24" s="3" t="s">
        <v>33</v>
      </c>
      <c r="B24" s="3" t="s">
        <v>44</v>
      </c>
      <c r="C24" s="11" t="s">
        <v>218</v>
      </c>
      <c r="D24" s="3" t="s">
        <v>423</v>
      </c>
      <c r="E24" s="3" t="s">
        <v>49</v>
      </c>
      <c r="F24" s="3" t="s">
        <v>25</v>
      </c>
      <c r="G24" s="3" t="s">
        <v>45</v>
      </c>
      <c r="H24" s="3">
        <v>119454</v>
      </c>
      <c r="I24" s="3">
        <v>100.32</v>
      </c>
      <c r="J24" s="3">
        <v>54.76</v>
      </c>
      <c r="K24" s="3">
        <v>2.8</v>
      </c>
      <c r="L24" s="3" t="s">
        <v>30</v>
      </c>
      <c r="M24" s="3" t="s">
        <v>87</v>
      </c>
      <c r="N24" s="3" t="s">
        <v>219</v>
      </c>
      <c r="O24" s="3" t="s">
        <v>220</v>
      </c>
      <c r="P24" s="3" t="s">
        <v>221</v>
      </c>
      <c r="Q24" s="3" t="s">
        <v>21</v>
      </c>
      <c r="R24" s="9" t="s">
        <v>547</v>
      </c>
      <c r="S24" t="s">
        <v>548</v>
      </c>
    </row>
    <row r="25" spans="1:19" ht="15.75" customHeight="1" x14ac:dyDescent="0.2">
      <c r="A25" s="3" t="s">
        <v>33</v>
      </c>
      <c r="B25" s="3" t="s">
        <v>44</v>
      </c>
      <c r="C25" s="11" t="s">
        <v>230</v>
      </c>
      <c r="D25" s="3" t="s">
        <v>424</v>
      </c>
      <c r="E25" s="3" t="s">
        <v>49</v>
      </c>
      <c r="F25" s="3" t="s">
        <v>25</v>
      </c>
      <c r="G25" s="3" t="s">
        <v>45</v>
      </c>
      <c r="H25" s="3">
        <v>66740</v>
      </c>
      <c r="I25" s="3">
        <v>112.25</v>
      </c>
      <c r="J25" s="3">
        <v>51.41</v>
      </c>
      <c r="K25" s="3">
        <v>3.05</v>
      </c>
      <c r="L25" s="3" t="s">
        <v>30</v>
      </c>
      <c r="M25" s="3" t="s">
        <v>47</v>
      </c>
      <c r="N25" s="3" t="s">
        <v>50</v>
      </c>
      <c r="O25" s="3" t="s">
        <v>231</v>
      </c>
      <c r="P25" s="3" t="s">
        <v>232</v>
      </c>
      <c r="Q25" s="3" t="s">
        <v>21</v>
      </c>
      <c r="R25" s="9" t="s">
        <v>543</v>
      </c>
      <c r="S25" t="s">
        <v>544</v>
      </c>
    </row>
    <row r="26" spans="1:19" ht="15.75" customHeight="1" x14ac:dyDescent="0.2">
      <c r="A26" s="3" t="s">
        <v>33</v>
      </c>
      <c r="B26" s="3" t="s">
        <v>44</v>
      </c>
      <c r="C26" s="11" t="s">
        <v>230</v>
      </c>
      <c r="D26" s="3" t="s">
        <v>424</v>
      </c>
      <c r="E26" s="3" t="s">
        <v>49</v>
      </c>
      <c r="F26" s="3" t="s">
        <v>25</v>
      </c>
      <c r="G26" s="3" t="s">
        <v>45</v>
      </c>
      <c r="H26" s="3">
        <v>66728</v>
      </c>
      <c r="I26" s="3">
        <v>114.95</v>
      </c>
      <c r="J26" s="3">
        <v>54.26</v>
      </c>
      <c r="K26" s="3">
        <v>3.5</v>
      </c>
      <c r="L26" s="3" t="s">
        <v>27</v>
      </c>
      <c r="M26" s="3" t="s">
        <v>47</v>
      </c>
      <c r="N26" s="3" t="s">
        <v>86</v>
      </c>
      <c r="O26" s="3" t="s">
        <v>233</v>
      </c>
      <c r="P26" s="3" t="s">
        <v>21</v>
      </c>
      <c r="Q26" s="3" t="s">
        <v>21</v>
      </c>
      <c r="R26" s="9" t="s">
        <v>545</v>
      </c>
      <c r="S26" t="s">
        <v>546</v>
      </c>
    </row>
    <row r="27" spans="1:19" ht="15.75" customHeight="1" x14ac:dyDescent="0.2">
      <c r="A27" s="3" t="s">
        <v>33</v>
      </c>
      <c r="B27" s="3" t="s">
        <v>44</v>
      </c>
      <c r="C27" s="10" t="s">
        <v>230</v>
      </c>
      <c r="D27" s="3" t="s">
        <v>424</v>
      </c>
      <c r="E27" s="3" t="s">
        <v>49</v>
      </c>
      <c r="F27" s="3" t="s">
        <v>25</v>
      </c>
      <c r="G27" s="3" t="s">
        <v>45</v>
      </c>
      <c r="H27" s="3">
        <v>66640</v>
      </c>
      <c r="I27" s="3">
        <v>110.79</v>
      </c>
      <c r="J27" s="3">
        <v>50.32</v>
      </c>
      <c r="K27" s="3">
        <v>3.4</v>
      </c>
      <c r="L27" s="3" t="s">
        <v>30</v>
      </c>
      <c r="M27" s="3" t="s">
        <v>47</v>
      </c>
      <c r="N27" s="3" t="s">
        <v>86</v>
      </c>
      <c r="O27" s="3" t="s">
        <v>234</v>
      </c>
      <c r="P27" s="3" t="s">
        <v>21</v>
      </c>
      <c r="Q27" s="3" t="s">
        <v>21</v>
      </c>
      <c r="R27" s="9" t="s">
        <v>549</v>
      </c>
      <c r="S27" t="s">
        <v>550</v>
      </c>
    </row>
    <row r="28" spans="1:19" ht="15.75" customHeight="1" x14ac:dyDescent="0.2">
      <c r="A28" s="3" t="s">
        <v>33</v>
      </c>
      <c r="B28" s="3" t="s">
        <v>90</v>
      </c>
      <c r="C28" s="11" t="s">
        <v>246</v>
      </c>
      <c r="D28" s="3" t="s">
        <v>425</v>
      </c>
      <c r="E28" s="3" t="s">
        <v>49</v>
      </c>
      <c r="F28" s="3" t="s">
        <v>25</v>
      </c>
      <c r="G28" s="3" t="s">
        <v>45</v>
      </c>
      <c r="H28" s="3">
        <v>100755</v>
      </c>
      <c r="I28" s="3">
        <v>88.67</v>
      </c>
      <c r="J28" s="3">
        <v>36.619999999999997</v>
      </c>
      <c r="K28" s="3">
        <v>1</v>
      </c>
      <c r="L28" s="3"/>
      <c r="M28" s="3" t="s">
        <v>41</v>
      </c>
      <c r="N28" s="3" t="s">
        <v>46</v>
      </c>
      <c r="O28" s="3" t="s">
        <v>247</v>
      </c>
      <c r="P28" s="3" t="s">
        <v>248</v>
      </c>
      <c r="Q28" s="3" t="s">
        <v>21</v>
      </c>
      <c r="R28" s="9" t="s">
        <v>541</v>
      </c>
      <c r="S28" t="s">
        <v>542</v>
      </c>
    </row>
    <row r="29" spans="1:19" ht="15.75" customHeight="1" x14ac:dyDescent="0.2">
      <c r="A29" s="3" t="s">
        <v>304</v>
      </c>
      <c r="B29" s="3" t="s">
        <v>305</v>
      </c>
      <c r="C29" s="3" t="s">
        <v>306</v>
      </c>
      <c r="D29" s="3" t="s">
        <v>426</v>
      </c>
      <c r="E29" s="3" t="s">
        <v>19</v>
      </c>
      <c r="F29" s="3" t="s">
        <v>100</v>
      </c>
      <c r="G29" s="3" t="s">
        <v>104</v>
      </c>
      <c r="H29" s="3">
        <v>10881</v>
      </c>
      <c r="I29" s="3"/>
      <c r="J29" s="3"/>
      <c r="K29" s="3"/>
      <c r="L29" s="3" t="s">
        <v>27</v>
      </c>
      <c r="M29" s="3" t="s">
        <v>32</v>
      </c>
      <c r="N29" s="3" t="s">
        <v>131</v>
      </c>
      <c r="O29" s="3" t="s">
        <v>307</v>
      </c>
      <c r="P29" s="3" t="s">
        <v>21</v>
      </c>
      <c r="Q29" s="3" t="s">
        <v>21</v>
      </c>
      <c r="R29" s="9" t="s">
        <v>509</v>
      </c>
      <c r="S29" t="s">
        <v>510</v>
      </c>
    </row>
    <row r="30" spans="1:19" ht="15.75" customHeight="1" x14ac:dyDescent="0.2">
      <c r="A30" s="3" t="s">
        <v>33</v>
      </c>
      <c r="B30" s="3" t="s">
        <v>314</v>
      </c>
      <c r="C30" s="3" t="s">
        <v>315</v>
      </c>
      <c r="D30" s="3" t="s">
        <v>427</v>
      </c>
      <c r="E30" s="3" t="s">
        <v>49</v>
      </c>
      <c r="F30" s="3" t="s">
        <v>25</v>
      </c>
      <c r="G30" s="3" t="s">
        <v>57</v>
      </c>
      <c r="H30" s="3">
        <v>167991</v>
      </c>
      <c r="I30" s="3">
        <v>75.05</v>
      </c>
      <c r="J30" s="3">
        <v>30.01</v>
      </c>
      <c r="K30" s="3">
        <v>1.3</v>
      </c>
      <c r="L30" s="3" t="s">
        <v>30</v>
      </c>
      <c r="M30" s="3" t="s">
        <v>88</v>
      </c>
      <c r="N30" s="3" t="s">
        <v>244</v>
      </c>
      <c r="O30" s="3" t="s">
        <v>245</v>
      </c>
      <c r="P30" s="3" t="s">
        <v>316</v>
      </c>
      <c r="Q30" s="3" t="s">
        <v>21</v>
      </c>
      <c r="R30" s="9" t="s">
        <v>506</v>
      </c>
    </row>
    <row r="31" spans="1:19" ht="15.75" customHeight="1" x14ac:dyDescent="0.2">
      <c r="A31" s="3" t="s">
        <v>65</v>
      </c>
      <c r="B31" s="3" t="s">
        <v>145</v>
      </c>
      <c r="C31" s="3" t="s">
        <v>146</v>
      </c>
      <c r="D31" s="3" t="s">
        <v>428</v>
      </c>
      <c r="E31" s="3" t="s">
        <v>49</v>
      </c>
      <c r="F31" s="3" t="s">
        <v>25</v>
      </c>
      <c r="G31" s="3" t="s">
        <v>26</v>
      </c>
      <c r="H31" s="3">
        <v>13924</v>
      </c>
      <c r="I31" s="3">
        <v>132.56</v>
      </c>
      <c r="J31" s="3">
        <v>66.03</v>
      </c>
      <c r="K31" s="3">
        <v>12</v>
      </c>
      <c r="L31" s="3"/>
      <c r="M31" s="3" t="s">
        <v>22</v>
      </c>
      <c r="N31" s="3" t="s">
        <v>22</v>
      </c>
      <c r="O31" s="3" t="s">
        <v>22</v>
      </c>
      <c r="P31" s="3" t="s">
        <v>21</v>
      </c>
      <c r="Q31" s="3" t="s">
        <v>21</v>
      </c>
      <c r="R31" s="9" t="s">
        <v>506</v>
      </c>
    </row>
    <row r="32" spans="1:19" ht="15.75" customHeight="1" x14ac:dyDescent="0.2">
      <c r="A32" s="3" t="s">
        <v>33</v>
      </c>
      <c r="B32" s="3" t="s">
        <v>317</v>
      </c>
      <c r="C32" s="3" t="s">
        <v>318</v>
      </c>
      <c r="D32" s="3" t="s">
        <v>429</v>
      </c>
      <c r="E32" s="3" t="s">
        <v>49</v>
      </c>
      <c r="F32" s="3" t="s">
        <v>25</v>
      </c>
      <c r="G32" s="3" t="s">
        <v>57</v>
      </c>
      <c r="H32" s="3">
        <v>103235</v>
      </c>
      <c r="I32" s="3">
        <v>76.8</v>
      </c>
      <c r="J32" s="3">
        <v>33.03</v>
      </c>
      <c r="K32" s="3">
        <v>1.1000000000000001</v>
      </c>
      <c r="L32" s="3" t="s">
        <v>27</v>
      </c>
      <c r="M32" s="3" t="s">
        <v>88</v>
      </c>
      <c r="N32" s="3" t="s">
        <v>319</v>
      </c>
      <c r="O32" s="3" t="s">
        <v>320</v>
      </c>
      <c r="P32" s="3" t="s">
        <v>321</v>
      </c>
      <c r="Q32" s="3" t="s">
        <v>21</v>
      </c>
      <c r="R32" s="9" t="s">
        <v>506</v>
      </c>
    </row>
    <row r="33" spans="1:19" ht="15.75" customHeight="1" x14ac:dyDescent="0.2">
      <c r="A33" s="3" t="s">
        <v>33</v>
      </c>
      <c r="B33" s="3" t="s">
        <v>63</v>
      </c>
      <c r="C33" s="3" t="s">
        <v>147</v>
      </c>
      <c r="D33" s="3" t="s">
        <v>430</v>
      </c>
      <c r="E33" s="3" t="s">
        <v>49</v>
      </c>
      <c r="F33" s="3" t="s">
        <v>25</v>
      </c>
      <c r="G33" s="3" t="s">
        <v>26</v>
      </c>
      <c r="H33" s="3" t="s">
        <v>29</v>
      </c>
      <c r="I33" s="3">
        <v>69.099999999999994</v>
      </c>
      <c r="J33" s="3">
        <v>48.25</v>
      </c>
      <c r="K33" s="3">
        <v>2.9</v>
      </c>
      <c r="L33" s="3"/>
      <c r="M33" s="3" t="s">
        <v>22</v>
      </c>
      <c r="N33" s="3" t="s">
        <v>22</v>
      </c>
      <c r="O33" s="3" t="s">
        <v>22</v>
      </c>
      <c r="P33" s="3" t="s">
        <v>21</v>
      </c>
      <c r="Q33" s="3" t="s">
        <v>21</v>
      </c>
      <c r="R33" s="9" t="s">
        <v>506</v>
      </c>
    </row>
    <row r="34" spans="1:19" ht="15.75" customHeight="1" x14ac:dyDescent="0.2">
      <c r="A34" s="3" t="s">
        <v>33</v>
      </c>
      <c r="B34" s="3" t="s">
        <v>63</v>
      </c>
      <c r="C34" s="3" t="s">
        <v>148</v>
      </c>
      <c r="D34" s="3" t="s">
        <v>431</v>
      </c>
      <c r="E34" s="3" t="s">
        <v>49</v>
      </c>
      <c r="F34" s="3" t="s">
        <v>25</v>
      </c>
      <c r="G34" s="3" t="s">
        <v>26</v>
      </c>
      <c r="H34" s="3">
        <v>25385</v>
      </c>
      <c r="I34" s="3">
        <v>110.4</v>
      </c>
      <c r="J34" s="3">
        <v>56.97</v>
      </c>
      <c r="K34" s="3">
        <v>7</v>
      </c>
      <c r="L34" s="3"/>
      <c r="M34" s="3" t="s">
        <v>32</v>
      </c>
      <c r="N34" s="3" t="s">
        <v>69</v>
      </c>
      <c r="O34" s="3" t="s">
        <v>149</v>
      </c>
      <c r="P34" s="3" t="s">
        <v>150</v>
      </c>
      <c r="Q34" s="3" t="s">
        <v>151</v>
      </c>
      <c r="R34" s="9" t="s">
        <v>506</v>
      </c>
    </row>
    <row r="35" spans="1:19" ht="15.75" customHeight="1" x14ac:dyDescent="0.2">
      <c r="A35" s="3" t="s">
        <v>33</v>
      </c>
      <c r="B35" s="3" t="s">
        <v>63</v>
      </c>
      <c r="C35" s="3" t="s">
        <v>341</v>
      </c>
      <c r="D35" s="3" t="s">
        <v>432</v>
      </c>
      <c r="E35" s="3" t="s">
        <v>49</v>
      </c>
      <c r="F35" s="3" t="s">
        <v>25</v>
      </c>
      <c r="G35" s="3" t="s">
        <v>336</v>
      </c>
      <c r="H35" s="3">
        <v>15969</v>
      </c>
      <c r="I35" s="3">
        <v>32.9</v>
      </c>
      <c r="J35" s="3">
        <v>31.35</v>
      </c>
      <c r="K35" s="3">
        <v>1.1000000000000001</v>
      </c>
      <c r="L35" s="3"/>
      <c r="M35" s="3" t="s">
        <v>32</v>
      </c>
      <c r="N35" s="3" t="s">
        <v>37</v>
      </c>
      <c r="O35" s="3" t="s">
        <v>342</v>
      </c>
      <c r="P35" s="3" t="s">
        <v>21</v>
      </c>
      <c r="Q35" s="3" t="s">
        <v>21</v>
      </c>
      <c r="R35" s="7" t="s">
        <v>498</v>
      </c>
      <c r="S35" t="s">
        <v>499</v>
      </c>
    </row>
    <row r="36" spans="1:19" ht="15.75" customHeight="1" x14ac:dyDescent="0.2">
      <c r="A36" s="3" t="s">
        <v>308</v>
      </c>
      <c r="B36" s="3" t="s">
        <v>309</v>
      </c>
      <c r="C36" s="3" t="s">
        <v>310</v>
      </c>
      <c r="D36" s="3" t="s">
        <v>433</v>
      </c>
      <c r="E36" s="3" t="s">
        <v>49</v>
      </c>
      <c r="F36" s="3" t="s">
        <v>100</v>
      </c>
      <c r="G36" s="3" t="s">
        <v>104</v>
      </c>
      <c r="H36" s="3">
        <v>149094</v>
      </c>
      <c r="I36" s="3"/>
      <c r="J36" s="3"/>
      <c r="K36" s="3"/>
      <c r="L36" s="3"/>
      <c r="M36" s="3" t="s">
        <v>32</v>
      </c>
      <c r="N36" s="3" t="s">
        <v>59</v>
      </c>
      <c r="O36" s="3" t="s">
        <v>311</v>
      </c>
      <c r="P36" s="3" t="s">
        <v>21</v>
      </c>
      <c r="Q36" s="3" t="s">
        <v>21</v>
      </c>
      <c r="R36" s="9" t="s">
        <v>511</v>
      </c>
      <c r="S36" t="s">
        <v>512</v>
      </c>
    </row>
    <row r="37" spans="1:19" ht="15.75" customHeight="1" x14ac:dyDescent="0.2">
      <c r="A37" s="3" t="s">
        <v>33</v>
      </c>
      <c r="B37" s="3" t="s">
        <v>152</v>
      </c>
      <c r="C37" s="3" t="s">
        <v>153</v>
      </c>
      <c r="D37" s="3" t="s">
        <v>434</v>
      </c>
      <c r="E37" s="3" t="s">
        <v>49</v>
      </c>
      <c r="F37" s="3" t="s">
        <v>25</v>
      </c>
      <c r="G37" s="3" t="s">
        <v>26</v>
      </c>
      <c r="H37" s="3">
        <v>34782</v>
      </c>
      <c r="I37" s="3">
        <v>96.72</v>
      </c>
      <c r="J37" s="3">
        <v>51.67</v>
      </c>
      <c r="K37" s="3">
        <v>3.9</v>
      </c>
      <c r="L37" s="3"/>
      <c r="M37" s="3" t="s">
        <v>32</v>
      </c>
      <c r="N37" s="3" t="s">
        <v>154</v>
      </c>
      <c r="O37" s="3" t="s">
        <v>155</v>
      </c>
      <c r="P37" s="3" t="s">
        <v>156</v>
      </c>
      <c r="Q37" s="3" t="s">
        <v>157</v>
      </c>
      <c r="R37" s="9" t="s">
        <v>506</v>
      </c>
    </row>
    <row r="38" spans="1:19" ht="15.75" customHeight="1" x14ac:dyDescent="0.2">
      <c r="A38" s="3" t="s">
        <v>33</v>
      </c>
      <c r="B38" s="3" t="s">
        <v>34</v>
      </c>
      <c r="C38" s="3" t="s">
        <v>158</v>
      </c>
      <c r="D38" s="3" t="s">
        <v>435</v>
      </c>
      <c r="E38" s="3" t="s">
        <v>49</v>
      </c>
      <c r="F38" s="3" t="s">
        <v>25</v>
      </c>
      <c r="G38" s="3" t="s">
        <v>26</v>
      </c>
      <c r="H38" s="3">
        <v>8154</v>
      </c>
      <c r="I38" s="3">
        <v>84.31</v>
      </c>
      <c r="J38" s="3">
        <v>36.5</v>
      </c>
      <c r="K38" s="3">
        <v>1</v>
      </c>
      <c r="L38" s="3"/>
      <c r="M38" s="3" t="s">
        <v>32</v>
      </c>
      <c r="N38" s="3" t="s">
        <v>159</v>
      </c>
      <c r="O38" s="3" t="s">
        <v>160</v>
      </c>
      <c r="P38" s="3" t="s">
        <v>21</v>
      </c>
      <c r="Q38" s="3" t="s">
        <v>21</v>
      </c>
      <c r="R38" s="9" t="s">
        <v>506</v>
      </c>
    </row>
    <row r="39" spans="1:19" ht="15.75" customHeight="1" x14ac:dyDescent="0.2">
      <c r="A39" s="3" t="s">
        <v>33</v>
      </c>
      <c r="B39" s="3" t="s">
        <v>34</v>
      </c>
      <c r="C39" s="3" t="s">
        <v>249</v>
      </c>
      <c r="D39" s="3" t="s">
        <v>436</v>
      </c>
      <c r="E39" s="3" t="s">
        <v>49</v>
      </c>
      <c r="F39" s="3" t="s">
        <v>25</v>
      </c>
      <c r="G39" s="3" t="s">
        <v>45</v>
      </c>
      <c r="H39" s="3">
        <v>144442</v>
      </c>
      <c r="I39" s="3">
        <v>106.41</v>
      </c>
      <c r="J39" s="3">
        <v>46.87</v>
      </c>
      <c r="K39" s="3">
        <v>2.2999999999999998</v>
      </c>
      <c r="L39" s="3"/>
      <c r="M39" s="3" t="s">
        <v>32</v>
      </c>
      <c r="N39" s="3" t="s">
        <v>64</v>
      </c>
      <c r="O39" s="3" t="s">
        <v>250</v>
      </c>
      <c r="P39" s="3" t="s">
        <v>251</v>
      </c>
      <c r="Q39" s="3" t="s">
        <v>21</v>
      </c>
      <c r="R39" s="9" t="s">
        <v>506</v>
      </c>
    </row>
    <row r="40" spans="1:19" ht="15.75" customHeight="1" x14ac:dyDescent="0.2">
      <c r="A40" s="3" t="s">
        <v>33</v>
      </c>
      <c r="B40" s="3" t="s">
        <v>34</v>
      </c>
      <c r="C40" s="3" t="s">
        <v>161</v>
      </c>
      <c r="D40" s="3" t="s">
        <v>437</v>
      </c>
      <c r="E40" s="3" t="s">
        <v>49</v>
      </c>
      <c r="F40" s="3" t="s">
        <v>25</v>
      </c>
      <c r="G40" s="3" t="s">
        <v>26</v>
      </c>
      <c r="H40" s="3">
        <v>34465</v>
      </c>
      <c r="I40" s="3">
        <v>94.95</v>
      </c>
      <c r="J40" s="3">
        <v>53.35</v>
      </c>
      <c r="K40" s="3">
        <v>3</v>
      </c>
      <c r="L40" s="3"/>
      <c r="M40" s="3" t="s">
        <v>32</v>
      </c>
      <c r="N40" s="3" t="s">
        <v>143</v>
      </c>
      <c r="O40" s="3" t="s">
        <v>162</v>
      </c>
      <c r="P40" s="3" t="s">
        <v>163</v>
      </c>
      <c r="Q40" s="3" t="s">
        <v>164</v>
      </c>
      <c r="R40" s="9" t="s">
        <v>506</v>
      </c>
    </row>
    <row r="41" spans="1:19" ht="15.75" customHeight="1" x14ac:dyDescent="0.2">
      <c r="A41" s="3" t="s">
        <v>33</v>
      </c>
      <c r="B41" s="3" t="s">
        <v>34</v>
      </c>
      <c r="C41" s="3" t="s">
        <v>252</v>
      </c>
      <c r="D41" s="3" t="s">
        <v>438</v>
      </c>
      <c r="E41" s="3" t="s">
        <v>49</v>
      </c>
      <c r="F41" s="3" t="s">
        <v>25</v>
      </c>
      <c r="G41" s="3" t="s">
        <v>45</v>
      </c>
      <c r="H41" s="3">
        <v>175858</v>
      </c>
      <c r="I41" s="3">
        <v>95.25</v>
      </c>
      <c r="J41" s="3">
        <v>39.49</v>
      </c>
      <c r="K41" s="3">
        <v>2</v>
      </c>
      <c r="L41" s="3"/>
      <c r="M41" s="3" t="s">
        <v>32</v>
      </c>
      <c r="N41" s="3" t="s">
        <v>253</v>
      </c>
      <c r="O41" s="3" t="s">
        <v>254</v>
      </c>
      <c r="P41" s="3" t="s">
        <v>21</v>
      </c>
      <c r="Q41" s="3" t="s">
        <v>21</v>
      </c>
      <c r="R41" s="9" t="s">
        <v>506</v>
      </c>
    </row>
    <row r="42" spans="1:19" ht="15.75" customHeight="1" x14ac:dyDescent="0.2">
      <c r="A42" s="3" t="s">
        <v>33</v>
      </c>
      <c r="B42" s="3" t="s">
        <v>165</v>
      </c>
      <c r="C42" s="3" t="s">
        <v>166</v>
      </c>
      <c r="D42" s="3" t="s">
        <v>439</v>
      </c>
      <c r="E42" s="3" t="s">
        <v>49</v>
      </c>
      <c r="F42" s="3" t="s">
        <v>25</v>
      </c>
      <c r="G42" s="3" t="s">
        <v>26</v>
      </c>
      <c r="H42" s="3">
        <v>29950</v>
      </c>
      <c r="I42" s="3">
        <v>131.77000000000001</v>
      </c>
      <c r="J42" s="3">
        <v>71.11</v>
      </c>
      <c r="K42" s="3">
        <v>6.5</v>
      </c>
      <c r="L42" s="3"/>
      <c r="M42" s="3" t="s">
        <v>28</v>
      </c>
      <c r="N42" s="3" t="s">
        <v>31</v>
      </c>
      <c r="O42" s="3" t="s">
        <v>167</v>
      </c>
      <c r="P42" s="3" t="s">
        <v>168</v>
      </c>
      <c r="Q42" s="3" t="s">
        <v>169</v>
      </c>
      <c r="R42" s="9" t="s">
        <v>506</v>
      </c>
    </row>
    <row r="43" spans="1:19" ht="15.75" customHeight="1" x14ac:dyDescent="0.2">
      <c r="A43" s="3" t="s">
        <v>33</v>
      </c>
      <c r="B43" s="3" t="s">
        <v>170</v>
      </c>
      <c r="C43" s="3" t="s">
        <v>171</v>
      </c>
      <c r="D43" s="3" t="s">
        <v>440</v>
      </c>
      <c r="E43" s="3" t="s">
        <v>49</v>
      </c>
      <c r="F43" s="3" t="s">
        <v>25</v>
      </c>
      <c r="G43" s="3" t="s">
        <v>26</v>
      </c>
      <c r="H43" s="3">
        <v>3071</v>
      </c>
      <c r="I43" s="3">
        <v>68.08</v>
      </c>
      <c r="J43" s="3">
        <v>30.86</v>
      </c>
      <c r="K43" s="3">
        <v>1.7</v>
      </c>
      <c r="L43" s="3" t="s">
        <v>30</v>
      </c>
      <c r="M43" s="3" t="s">
        <v>28</v>
      </c>
      <c r="N43" s="3" t="s">
        <v>172</v>
      </c>
      <c r="O43" s="3" t="s">
        <v>173</v>
      </c>
      <c r="P43" s="3" t="s">
        <v>174</v>
      </c>
      <c r="Q43" s="3" t="s">
        <v>175</v>
      </c>
      <c r="R43" s="9" t="s">
        <v>506</v>
      </c>
    </row>
    <row r="44" spans="1:19" ht="15.75" customHeight="1" x14ac:dyDescent="0.2">
      <c r="A44" s="3" t="s">
        <v>33</v>
      </c>
      <c r="B44" s="3" t="s">
        <v>73</v>
      </c>
      <c r="C44" s="3" t="s">
        <v>74</v>
      </c>
      <c r="D44" s="3" t="s">
        <v>441</v>
      </c>
      <c r="E44" s="3" t="s">
        <v>49</v>
      </c>
      <c r="F44" s="3" t="s">
        <v>25</v>
      </c>
      <c r="G44" s="3" t="s">
        <v>40</v>
      </c>
      <c r="H44" s="3">
        <v>71113</v>
      </c>
      <c r="I44" s="3">
        <v>118.67</v>
      </c>
      <c r="J44" s="3">
        <v>63.29</v>
      </c>
      <c r="K44" s="3">
        <v>5.6</v>
      </c>
      <c r="L44" s="3" t="s">
        <v>30</v>
      </c>
      <c r="M44" s="3" t="s">
        <v>75</v>
      </c>
      <c r="N44" s="3" t="s">
        <v>76</v>
      </c>
      <c r="O44" s="3" t="s">
        <v>77</v>
      </c>
      <c r="P44" s="3"/>
      <c r="Q44" s="3"/>
      <c r="R44" s="7" t="s">
        <v>494</v>
      </c>
      <c r="S44" t="s">
        <v>495</v>
      </c>
    </row>
    <row r="45" spans="1:19" ht="15.75" customHeight="1" x14ac:dyDescent="0.2">
      <c r="A45" s="3" t="s">
        <v>33</v>
      </c>
      <c r="B45" s="3" t="s">
        <v>73</v>
      </c>
      <c r="C45" s="3" t="s">
        <v>322</v>
      </c>
      <c r="D45" s="3" t="s">
        <v>442</v>
      </c>
      <c r="E45" s="3" t="s">
        <v>49</v>
      </c>
      <c r="F45" s="3" t="s">
        <v>25</v>
      </c>
      <c r="G45" s="3" t="s">
        <v>57</v>
      </c>
      <c r="H45" s="3">
        <v>233372</v>
      </c>
      <c r="I45" s="3">
        <v>92.08</v>
      </c>
      <c r="J45" s="3">
        <v>54.05</v>
      </c>
      <c r="K45" s="3">
        <v>3</v>
      </c>
      <c r="L45" s="3"/>
      <c r="M45" s="3" t="s">
        <v>32</v>
      </c>
      <c r="N45" s="3" t="s">
        <v>323</v>
      </c>
      <c r="O45" s="3" t="s">
        <v>324</v>
      </c>
      <c r="P45" s="3" t="s">
        <v>105</v>
      </c>
      <c r="Q45" s="3" t="s">
        <v>21</v>
      </c>
      <c r="R45" s="9" t="s">
        <v>506</v>
      </c>
    </row>
    <row r="46" spans="1:19" ht="15.75" customHeight="1" x14ac:dyDescent="0.2">
      <c r="A46" s="3" t="s">
        <v>51</v>
      </c>
      <c r="B46" s="3" t="s">
        <v>56</v>
      </c>
      <c r="C46" s="3" t="s">
        <v>255</v>
      </c>
      <c r="D46" s="3" t="s">
        <v>443</v>
      </c>
      <c r="E46" s="3" t="s">
        <v>49</v>
      </c>
      <c r="F46" s="3" t="s">
        <v>25</v>
      </c>
      <c r="G46" s="3" t="s">
        <v>45</v>
      </c>
      <c r="H46" s="3">
        <v>152356</v>
      </c>
      <c r="I46" s="3">
        <v>82.09</v>
      </c>
      <c r="J46" s="3">
        <v>53.58</v>
      </c>
      <c r="K46" s="3">
        <v>2.95</v>
      </c>
      <c r="L46" s="3" t="s">
        <v>27</v>
      </c>
      <c r="M46" s="3" t="s">
        <v>256</v>
      </c>
      <c r="N46" s="3" t="s">
        <v>257</v>
      </c>
      <c r="O46" s="3" t="s">
        <v>258</v>
      </c>
      <c r="P46" s="3" t="s">
        <v>21</v>
      </c>
      <c r="Q46" s="3" t="s">
        <v>21</v>
      </c>
      <c r="R46" s="9" t="s">
        <v>506</v>
      </c>
    </row>
    <row r="47" spans="1:19" ht="15.75" customHeight="1" x14ac:dyDescent="0.2">
      <c r="A47" s="3" t="s">
        <v>51</v>
      </c>
      <c r="B47" s="3" t="s">
        <v>56</v>
      </c>
      <c r="C47" s="3" t="s">
        <v>312</v>
      </c>
      <c r="D47" s="3" t="s">
        <v>444</v>
      </c>
      <c r="E47" s="3" t="s">
        <v>49</v>
      </c>
      <c r="F47" s="3" t="s">
        <v>100</v>
      </c>
      <c r="G47" s="3" t="s">
        <v>104</v>
      </c>
      <c r="H47" s="3">
        <v>24315</v>
      </c>
      <c r="I47" s="3"/>
      <c r="J47" s="3"/>
      <c r="K47" s="3"/>
      <c r="L47" s="3"/>
      <c r="M47" s="3" t="s">
        <v>260</v>
      </c>
      <c r="N47" s="3" t="s">
        <v>22</v>
      </c>
      <c r="O47" s="3" t="s">
        <v>22</v>
      </c>
      <c r="P47" s="3" t="s">
        <v>21</v>
      </c>
      <c r="Q47" s="3" t="s">
        <v>21</v>
      </c>
      <c r="R47" s="9" t="s">
        <v>513</v>
      </c>
      <c r="S47" t="s">
        <v>514</v>
      </c>
    </row>
    <row r="48" spans="1:19" ht="15.75" customHeight="1" x14ac:dyDescent="0.2">
      <c r="A48" s="3" t="s">
        <v>51</v>
      </c>
      <c r="B48" s="3" t="s">
        <v>56</v>
      </c>
      <c r="C48" s="3" t="s">
        <v>387</v>
      </c>
      <c r="D48" s="3" t="s">
        <v>445</v>
      </c>
      <c r="E48" s="3" t="s">
        <v>49</v>
      </c>
      <c r="F48" s="3" t="s">
        <v>25</v>
      </c>
      <c r="G48" s="3" t="s">
        <v>57</v>
      </c>
      <c r="H48" s="3">
        <v>197242</v>
      </c>
      <c r="I48" s="3">
        <v>94.11</v>
      </c>
      <c r="J48" s="3">
        <v>53.99</v>
      </c>
      <c r="K48" s="3">
        <v>4.4000000000000004</v>
      </c>
      <c r="L48" s="3" t="s">
        <v>27</v>
      </c>
      <c r="M48" s="3" t="s">
        <v>388</v>
      </c>
      <c r="N48" s="3" t="s">
        <v>389</v>
      </c>
      <c r="O48" s="3" t="s">
        <v>390</v>
      </c>
      <c r="P48" s="3" t="s">
        <v>391</v>
      </c>
      <c r="Q48" s="3" t="s">
        <v>21</v>
      </c>
      <c r="R48" s="9" t="s">
        <v>506</v>
      </c>
    </row>
    <row r="49" spans="1:19" ht="15.75" customHeight="1" x14ac:dyDescent="0.2">
      <c r="A49" s="3" t="s">
        <v>51</v>
      </c>
      <c r="B49" s="3" t="s">
        <v>56</v>
      </c>
      <c r="C49" s="3" t="s">
        <v>259</v>
      </c>
      <c r="D49" s="3" t="s">
        <v>446</v>
      </c>
      <c r="E49" s="3" t="s">
        <v>49</v>
      </c>
      <c r="F49" s="3" t="s">
        <v>25</v>
      </c>
      <c r="G49" s="3" t="s">
        <v>45</v>
      </c>
      <c r="H49" s="3">
        <v>151832</v>
      </c>
      <c r="I49" s="3">
        <v>109.49</v>
      </c>
      <c r="J49" s="3">
        <v>65.92</v>
      </c>
      <c r="K49" s="3">
        <v>7</v>
      </c>
      <c r="L49" s="3" t="s">
        <v>27</v>
      </c>
      <c r="M49" s="3" t="s">
        <v>260</v>
      </c>
      <c r="N49" s="3" t="s">
        <v>261</v>
      </c>
      <c r="O49" s="3" t="s">
        <v>262</v>
      </c>
      <c r="P49" s="3" t="s">
        <v>263</v>
      </c>
      <c r="Q49" s="3" t="s">
        <v>21</v>
      </c>
      <c r="R49" s="9" t="s">
        <v>506</v>
      </c>
    </row>
    <row r="50" spans="1:19" ht="15.75" customHeight="1" x14ac:dyDescent="0.2">
      <c r="A50" s="3" t="s">
        <v>51</v>
      </c>
      <c r="B50" s="3" t="s">
        <v>56</v>
      </c>
      <c r="C50" s="3" t="s">
        <v>396</v>
      </c>
      <c r="D50" s="3" t="s">
        <v>447</v>
      </c>
      <c r="E50" s="3" t="s">
        <v>49</v>
      </c>
      <c r="F50" s="3" t="s">
        <v>25</v>
      </c>
      <c r="G50" s="3" t="s">
        <v>57</v>
      </c>
      <c r="H50" s="3">
        <v>231134</v>
      </c>
      <c r="I50" s="3">
        <v>120</v>
      </c>
      <c r="J50" s="3">
        <v>67.650000000000006</v>
      </c>
      <c r="K50" s="3">
        <v>7.3</v>
      </c>
      <c r="L50" s="3" t="s">
        <v>27</v>
      </c>
      <c r="M50" s="3" t="s">
        <v>106</v>
      </c>
      <c r="N50" s="3" t="s">
        <v>397</v>
      </c>
      <c r="O50" s="3" t="s">
        <v>398</v>
      </c>
      <c r="P50" s="3" t="s">
        <v>21</v>
      </c>
      <c r="Q50" s="3" t="s">
        <v>399</v>
      </c>
      <c r="R50" s="9" t="s">
        <v>506</v>
      </c>
    </row>
    <row r="51" spans="1:19" ht="15.75" customHeight="1" x14ac:dyDescent="0.2">
      <c r="A51" s="3" t="s">
        <v>65</v>
      </c>
      <c r="B51" s="3" t="s">
        <v>176</v>
      </c>
      <c r="C51" s="3" t="s">
        <v>177</v>
      </c>
      <c r="D51" s="3" t="s">
        <v>448</v>
      </c>
      <c r="E51" s="3" t="s">
        <v>49</v>
      </c>
      <c r="F51" s="3" t="s">
        <v>25</v>
      </c>
      <c r="G51" s="3" t="s">
        <v>26</v>
      </c>
      <c r="H51" s="3">
        <v>4332</v>
      </c>
      <c r="I51" s="3">
        <v>85.11</v>
      </c>
      <c r="J51" s="3">
        <v>43.88</v>
      </c>
      <c r="K51" s="3">
        <v>3</v>
      </c>
      <c r="L51" s="3"/>
      <c r="M51" s="3" t="s">
        <v>22</v>
      </c>
      <c r="N51" s="3" t="s">
        <v>22</v>
      </c>
      <c r="O51" s="3" t="s">
        <v>22</v>
      </c>
      <c r="P51" s="3" t="s">
        <v>21</v>
      </c>
      <c r="Q51" s="3" t="s">
        <v>21</v>
      </c>
      <c r="R51" s="9" t="s">
        <v>506</v>
      </c>
    </row>
    <row r="52" spans="1:19" ht="15.75" customHeight="1" x14ac:dyDescent="0.2">
      <c r="A52" s="3" t="s">
        <v>33</v>
      </c>
      <c r="B52" s="3" t="s">
        <v>38</v>
      </c>
      <c r="C52" s="3" t="s">
        <v>39</v>
      </c>
      <c r="D52" s="3" t="s">
        <v>449</v>
      </c>
      <c r="E52" s="3" t="s">
        <v>49</v>
      </c>
      <c r="F52" s="3" t="s">
        <v>25</v>
      </c>
      <c r="G52" s="3" t="s">
        <v>40</v>
      </c>
      <c r="H52" s="3">
        <v>65597</v>
      </c>
      <c r="I52" s="3">
        <v>138.24</v>
      </c>
      <c r="J52" s="3">
        <v>72.459999999999994</v>
      </c>
      <c r="K52" s="3">
        <v>9</v>
      </c>
      <c r="L52" s="3" t="s">
        <v>27</v>
      </c>
      <c r="M52" s="3" t="s">
        <v>41</v>
      </c>
      <c r="N52" s="3" t="s">
        <v>41</v>
      </c>
      <c r="O52" s="3" t="s">
        <v>208</v>
      </c>
      <c r="P52" s="3"/>
      <c r="Q52" s="3"/>
      <c r="R52" s="8" t="s">
        <v>483</v>
      </c>
      <c r="S52" t="s">
        <v>485</v>
      </c>
    </row>
    <row r="53" spans="1:19" ht="15.75" customHeight="1" x14ac:dyDescent="0.2">
      <c r="A53" s="3" t="s">
        <v>33</v>
      </c>
      <c r="B53" s="3" t="s">
        <v>38</v>
      </c>
      <c r="C53" s="3" t="s">
        <v>39</v>
      </c>
      <c r="D53" s="3" t="s">
        <v>449</v>
      </c>
      <c r="E53" s="3" t="s">
        <v>49</v>
      </c>
      <c r="F53" s="3" t="s">
        <v>25</v>
      </c>
      <c r="G53" s="3" t="s">
        <v>40</v>
      </c>
      <c r="H53" s="3" t="s">
        <v>209</v>
      </c>
      <c r="I53" s="3">
        <v>221.91</v>
      </c>
      <c r="J53" s="3">
        <v>104.79</v>
      </c>
      <c r="K53" s="3">
        <v>29</v>
      </c>
      <c r="L53" s="3" t="s">
        <v>27</v>
      </c>
      <c r="M53" s="3" t="s">
        <v>41</v>
      </c>
      <c r="N53" s="3" t="s">
        <v>42</v>
      </c>
      <c r="O53" s="3" t="s">
        <v>43</v>
      </c>
      <c r="P53" s="3"/>
      <c r="Q53" s="3"/>
      <c r="R53" s="7" t="s">
        <v>492</v>
      </c>
      <c r="S53" t="s">
        <v>493</v>
      </c>
    </row>
    <row r="54" spans="1:19" ht="15.75" customHeight="1" x14ac:dyDescent="0.2">
      <c r="A54" s="3" t="s">
        <v>33</v>
      </c>
      <c r="B54" s="3" t="s">
        <v>38</v>
      </c>
      <c r="C54" s="3" t="s">
        <v>39</v>
      </c>
      <c r="D54" s="3" t="s">
        <v>449</v>
      </c>
      <c r="E54" s="3" t="s">
        <v>49</v>
      </c>
      <c r="F54" s="3" t="s">
        <v>25</v>
      </c>
      <c r="G54" s="3" t="s">
        <v>45</v>
      </c>
      <c r="H54" s="3">
        <v>129225</v>
      </c>
      <c r="I54" s="3">
        <v>171.67</v>
      </c>
      <c r="J54" s="3">
        <v>91.1</v>
      </c>
      <c r="K54" s="3">
        <v>23</v>
      </c>
      <c r="L54" s="3" t="s">
        <v>30</v>
      </c>
      <c r="M54" s="3" t="s">
        <v>41</v>
      </c>
      <c r="N54" s="3" t="s">
        <v>41</v>
      </c>
      <c r="O54" s="3" t="s">
        <v>264</v>
      </c>
      <c r="P54" s="3" t="s">
        <v>265</v>
      </c>
      <c r="Q54" s="3" t="s">
        <v>21</v>
      </c>
      <c r="R54" s="9" t="s">
        <v>506</v>
      </c>
    </row>
    <row r="55" spans="1:19" ht="15.75" customHeight="1" x14ac:dyDescent="0.2">
      <c r="A55" s="3" t="s">
        <v>65</v>
      </c>
      <c r="B55" s="3" t="s">
        <v>66</v>
      </c>
      <c r="C55" s="3" t="s">
        <v>78</v>
      </c>
      <c r="D55" s="3" t="s">
        <v>450</v>
      </c>
      <c r="E55" s="3" t="s">
        <v>49</v>
      </c>
      <c r="F55" s="3" t="s">
        <v>25</v>
      </c>
      <c r="G55" s="3" t="s">
        <v>40</v>
      </c>
      <c r="H55" s="3">
        <v>11770</v>
      </c>
      <c r="I55" s="3">
        <v>85.69</v>
      </c>
      <c r="J55" s="3">
        <v>45.92</v>
      </c>
      <c r="K55" s="3">
        <v>3.5</v>
      </c>
      <c r="L55" s="3" t="s">
        <v>30</v>
      </c>
      <c r="M55" s="3" t="s">
        <v>79</v>
      </c>
      <c r="N55" s="3" t="s">
        <v>210</v>
      </c>
      <c r="O55" s="3" t="s">
        <v>21</v>
      </c>
      <c r="P55" s="3"/>
      <c r="Q55" s="3"/>
      <c r="R55" s="7" t="s">
        <v>488</v>
      </c>
      <c r="S55" t="s">
        <v>489</v>
      </c>
    </row>
    <row r="56" spans="1:19" ht="15.75" customHeight="1" x14ac:dyDescent="0.2">
      <c r="A56" s="3" t="s">
        <v>65</v>
      </c>
      <c r="B56" s="3" t="s">
        <v>325</v>
      </c>
      <c r="C56" s="3" t="s">
        <v>326</v>
      </c>
      <c r="D56" s="3" t="s">
        <v>451</v>
      </c>
      <c r="E56" s="3" t="s">
        <v>49</v>
      </c>
      <c r="F56" s="3" t="s">
        <v>25</v>
      </c>
      <c r="G56" s="3" t="s">
        <v>57</v>
      </c>
      <c r="H56" s="3">
        <v>230161</v>
      </c>
      <c r="I56" s="3">
        <v>94.92</v>
      </c>
      <c r="J56" s="3">
        <v>49.76</v>
      </c>
      <c r="K56" s="3">
        <v>2.8</v>
      </c>
      <c r="L56" s="3"/>
      <c r="M56" s="3" t="s">
        <v>327</v>
      </c>
      <c r="N56" s="3" t="s">
        <v>328</v>
      </c>
      <c r="O56" s="3" t="s">
        <v>329</v>
      </c>
      <c r="P56" s="3" t="s">
        <v>330</v>
      </c>
      <c r="Q56" s="3" t="s">
        <v>21</v>
      </c>
      <c r="R56" s="9" t="s">
        <v>506</v>
      </c>
    </row>
    <row r="57" spans="1:19" ht="15.75" customHeight="1" x14ac:dyDescent="0.2">
      <c r="A57" s="3" t="s">
        <v>16</v>
      </c>
      <c r="B57" s="3" t="s">
        <v>17</v>
      </c>
      <c r="C57" s="3" t="s">
        <v>18</v>
      </c>
      <c r="D57" s="3" t="s">
        <v>452</v>
      </c>
      <c r="E57" s="3" t="s">
        <v>19</v>
      </c>
      <c r="F57" s="3" t="s">
        <v>25</v>
      </c>
      <c r="G57" s="3" t="s">
        <v>400</v>
      </c>
      <c r="H57" s="3" t="s">
        <v>350</v>
      </c>
      <c r="I57" s="3">
        <v>267</v>
      </c>
      <c r="J57" s="3">
        <v>186</v>
      </c>
      <c r="K57" s="3">
        <v>21</v>
      </c>
      <c r="L57" s="3" t="s">
        <v>30</v>
      </c>
      <c r="M57" s="3" t="s">
        <v>22</v>
      </c>
      <c r="N57" s="3" t="s">
        <v>22</v>
      </c>
      <c r="O57" s="3" t="s">
        <v>22</v>
      </c>
      <c r="P57" s="3" t="s">
        <v>21</v>
      </c>
      <c r="Q57" s="3" t="s">
        <v>21</v>
      </c>
      <c r="R57" s="9" t="s">
        <v>506</v>
      </c>
    </row>
    <row r="58" spans="1:19" ht="15.75" customHeight="1" x14ac:dyDescent="0.2">
      <c r="A58" s="3" t="s">
        <v>16</v>
      </c>
      <c r="B58" s="3" t="s">
        <v>17</v>
      </c>
      <c r="C58" s="3" t="s">
        <v>18</v>
      </c>
      <c r="D58" s="3" t="s">
        <v>452</v>
      </c>
      <c r="E58" s="3" t="s">
        <v>19</v>
      </c>
      <c r="F58" s="3" t="s">
        <v>25</v>
      </c>
      <c r="G58" s="3" t="s">
        <v>400</v>
      </c>
      <c r="H58" s="3" t="s">
        <v>351</v>
      </c>
      <c r="I58" s="3">
        <v>239</v>
      </c>
      <c r="J58" s="3">
        <v>165</v>
      </c>
      <c r="K58" s="3">
        <v>7</v>
      </c>
      <c r="L58" s="3" t="s">
        <v>30</v>
      </c>
      <c r="M58" s="3" t="s">
        <v>22</v>
      </c>
      <c r="N58" s="3" t="s">
        <v>22</v>
      </c>
      <c r="O58" s="3" t="s">
        <v>22</v>
      </c>
      <c r="P58" s="3" t="s">
        <v>21</v>
      </c>
      <c r="Q58" s="3" t="s">
        <v>21</v>
      </c>
      <c r="R58" s="9" t="s">
        <v>506</v>
      </c>
    </row>
    <row r="59" spans="1:19" ht="15.75" customHeight="1" x14ac:dyDescent="0.2">
      <c r="A59" s="3" t="s">
        <v>65</v>
      </c>
      <c r="B59" s="3" t="s">
        <v>352</v>
      </c>
      <c r="C59" s="3" t="s">
        <v>353</v>
      </c>
      <c r="D59" s="3" t="s">
        <v>453</v>
      </c>
      <c r="E59" s="3" t="s">
        <v>49</v>
      </c>
      <c r="F59" s="3" t="s">
        <v>25</v>
      </c>
      <c r="G59" s="3" t="s">
        <v>400</v>
      </c>
      <c r="H59" s="3" t="s">
        <v>354</v>
      </c>
      <c r="I59" s="3">
        <v>8.1</v>
      </c>
      <c r="J59" s="3">
        <v>34.093000000000004</v>
      </c>
      <c r="K59" s="3">
        <v>2</v>
      </c>
      <c r="L59" s="3" t="s">
        <v>30</v>
      </c>
      <c r="M59" s="3" t="s">
        <v>28</v>
      </c>
      <c r="N59" s="3" t="s">
        <v>55</v>
      </c>
      <c r="O59" s="3" t="s">
        <v>22</v>
      </c>
      <c r="P59" s="3" t="s">
        <v>21</v>
      </c>
      <c r="Q59" s="3" t="s">
        <v>21</v>
      </c>
      <c r="R59" s="9" t="s">
        <v>506</v>
      </c>
    </row>
    <row r="60" spans="1:19" ht="15.75" customHeight="1" x14ac:dyDescent="0.2">
      <c r="A60" s="3" t="s">
        <v>65</v>
      </c>
      <c r="B60" s="3" t="s">
        <v>352</v>
      </c>
      <c r="C60" s="3" t="s">
        <v>353</v>
      </c>
      <c r="D60" s="3" t="s">
        <v>453</v>
      </c>
      <c r="E60" s="3" t="s">
        <v>49</v>
      </c>
      <c r="F60" s="3" t="s">
        <v>25</v>
      </c>
      <c r="G60" s="3" t="s">
        <v>400</v>
      </c>
      <c r="H60" s="3" t="s">
        <v>355</v>
      </c>
      <c r="I60" s="3">
        <v>7.6</v>
      </c>
      <c r="J60" s="3">
        <v>35.912999999999997</v>
      </c>
      <c r="K60" s="3">
        <v>1.9</v>
      </c>
      <c r="L60" s="3" t="s">
        <v>27</v>
      </c>
      <c r="M60" s="3" t="s">
        <v>28</v>
      </c>
      <c r="N60" s="3" t="s">
        <v>55</v>
      </c>
      <c r="O60" s="3" t="s">
        <v>22</v>
      </c>
      <c r="P60" s="3" t="s">
        <v>21</v>
      </c>
      <c r="Q60" s="3" t="s">
        <v>21</v>
      </c>
      <c r="R60" s="9" t="s">
        <v>506</v>
      </c>
    </row>
    <row r="61" spans="1:19" ht="15.75" customHeight="1" x14ac:dyDescent="0.2">
      <c r="A61" s="3" t="s">
        <v>33</v>
      </c>
      <c r="B61" s="3" t="s">
        <v>107</v>
      </c>
      <c r="C61" s="3" t="s">
        <v>266</v>
      </c>
      <c r="D61" s="3" t="s">
        <v>454</v>
      </c>
      <c r="E61" s="3" t="s">
        <v>49</v>
      </c>
      <c r="F61" s="3" t="s">
        <v>25</v>
      </c>
      <c r="G61" s="3" t="s">
        <v>45</v>
      </c>
      <c r="H61" s="3">
        <v>203192</v>
      </c>
      <c r="I61" s="3">
        <v>74.87</v>
      </c>
      <c r="J61" s="3">
        <v>29.7</v>
      </c>
      <c r="K61" s="3">
        <v>0.9</v>
      </c>
      <c r="L61" s="3"/>
      <c r="M61" s="3" t="s">
        <v>47</v>
      </c>
      <c r="N61" s="3" t="s">
        <v>85</v>
      </c>
      <c r="O61" s="3" t="s">
        <v>22</v>
      </c>
      <c r="P61" s="3" t="s">
        <v>21</v>
      </c>
      <c r="Q61" s="3" t="s">
        <v>21</v>
      </c>
      <c r="R61" s="9" t="s">
        <v>506</v>
      </c>
    </row>
    <row r="62" spans="1:19" ht="15.75" customHeight="1" x14ac:dyDescent="0.2">
      <c r="A62" s="3" t="s">
        <v>33</v>
      </c>
      <c r="B62" s="3" t="s">
        <v>48</v>
      </c>
      <c r="C62" s="3" t="s">
        <v>80</v>
      </c>
      <c r="D62" s="3" t="s">
        <v>455</v>
      </c>
      <c r="E62" s="3" t="s">
        <v>49</v>
      </c>
      <c r="F62" s="3" t="s">
        <v>25</v>
      </c>
      <c r="G62" s="3" t="s">
        <v>40</v>
      </c>
      <c r="H62" s="3">
        <v>152580</v>
      </c>
      <c r="I62" s="3">
        <v>104.2</v>
      </c>
      <c r="J62" s="3">
        <v>37.979999999999997</v>
      </c>
      <c r="K62" s="3">
        <v>1</v>
      </c>
      <c r="L62" s="3" t="s">
        <v>27</v>
      </c>
      <c r="M62" s="3" t="s">
        <v>81</v>
      </c>
      <c r="N62" s="3" t="s">
        <v>21</v>
      </c>
      <c r="O62" s="3" t="s">
        <v>21</v>
      </c>
      <c r="P62" s="3"/>
      <c r="Q62" s="3"/>
      <c r="R62" s="7" t="s">
        <v>490</v>
      </c>
      <c r="S62" t="s">
        <v>491</v>
      </c>
    </row>
    <row r="63" spans="1:19" ht="15.75" customHeight="1" x14ac:dyDescent="0.2">
      <c r="A63" s="3" t="s">
        <v>33</v>
      </c>
      <c r="B63" s="3" t="s">
        <v>48</v>
      </c>
      <c r="C63" s="3" t="s">
        <v>267</v>
      </c>
      <c r="D63" s="3" t="s">
        <v>456</v>
      </c>
      <c r="E63" s="3" t="s">
        <v>49</v>
      </c>
      <c r="F63" s="3" t="s">
        <v>25</v>
      </c>
      <c r="G63" s="3" t="s">
        <v>45</v>
      </c>
      <c r="H63" s="3">
        <v>34749</v>
      </c>
      <c r="I63" s="3">
        <v>115.86</v>
      </c>
      <c r="J63" s="3">
        <v>42.84</v>
      </c>
      <c r="K63" s="3">
        <v>1.7</v>
      </c>
      <c r="L63" s="3"/>
      <c r="M63" s="3" t="s">
        <v>47</v>
      </c>
      <c r="N63" s="3" t="s">
        <v>268</v>
      </c>
      <c r="O63" s="3" t="s">
        <v>269</v>
      </c>
      <c r="P63" s="3" t="s">
        <v>270</v>
      </c>
      <c r="Q63" s="3" t="s">
        <v>21</v>
      </c>
      <c r="R63" s="9" t="s">
        <v>506</v>
      </c>
    </row>
    <row r="64" spans="1:19" ht="15.75" customHeight="1" x14ac:dyDescent="0.2">
      <c r="A64" s="3" t="s">
        <v>51</v>
      </c>
      <c r="B64" s="3" t="s">
        <v>52</v>
      </c>
      <c r="C64" s="3" t="s">
        <v>331</v>
      </c>
      <c r="D64" s="3" t="s">
        <v>457</v>
      </c>
      <c r="E64" s="3" t="s">
        <v>49</v>
      </c>
      <c r="F64" s="3" t="s">
        <v>25</v>
      </c>
      <c r="G64" s="3" t="s">
        <v>57</v>
      </c>
      <c r="H64" s="3">
        <v>129401</v>
      </c>
      <c r="I64" s="3">
        <v>148.72999999999999</v>
      </c>
      <c r="J64" s="3">
        <v>71.17</v>
      </c>
      <c r="K64" s="3">
        <v>6</v>
      </c>
      <c r="L64" s="3" t="s">
        <v>30</v>
      </c>
      <c r="M64" s="3" t="s">
        <v>260</v>
      </c>
      <c r="N64" s="3" t="s">
        <v>332</v>
      </c>
      <c r="O64" s="3" t="s">
        <v>333</v>
      </c>
      <c r="P64" s="3" t="s">
        <v>21</v>
      </c>
      <c r="Q64" s="3" t="s">
        <v>334</v>
      </c>
      <c r="R64" s="9" t="s">
        <v>506</v>
      </c>
    </row>
    <row r="65" spans="1:19" ht="15.75" customHeight="1" x14ac:dyDescent="0.2">
      <c r="A65" s="3" t="s">
        <v>65</v>
      </c>
      <c r="B65" s="3" t="s">
        <v>116</v>
      </c>
      <c r="C65" s="3" t="s">
        <v>117</v>
      </c>
      <c r="D65" s="3" t="s">
        <v>458</v>
      </c>
      <c r="E65" s="3" t="s">
        <v>49</v>
      </c>
      <c r="F65" s="3" t="s">
        <v>25</v>
      </c>
      <c r="G65" s="3" t="s">
        <v>118</v>
      </c>
      <c r="H65" s="3">
        <v>18542</v>
      </c>
      <c r="I65" s="3">
        <v>132.27000000000001</v>
      </c>
      <c r="J65" s="3">
        <v>64.349999999999994</v>
      </c>
      <c r="K65" s="3">
        <v>9.6999999999999993</v>
      </c>
      <c r="L65" s="3" t="s">
        <v>27</v>
      </c>
      <c r="M65" s="3" t="s">
        <v>106</v>
      </c>
      <c r="N65" s="5" t="s">
        <v>119</v>
      </c>
      <c r="O65" s="3" t="s">
        <v>21</v>
      </c>
      <c r="P65" s="3" t="s">
        <v>21</v>
      </c>
      <c r="Q65" s="3" t="s">
        <v>21</v>
      </c>
      <c r="R65" s="9" t="s">
        <v>506</v>
      </c>
    </row>
    <row r="66" spans="1:19" ht="15.75" customHeight="1" x14ac:dyDescent="0.2">
      <c r="A66" s="3" t="s">
        <v>33</v>
      </c>
      <c r="B66" s="3" t="s">
        <v>36</v>
      </c>
      <c r="C66" s="3" t="s">
        <v>102</v>
      </c>
      <c r="D66" s="3" t="s">
        <v>459</v>
      </c>
      <c r="E66" s="3" t="s">
        <v>49</v>
      </c>
      <c r="F66" s="3" t="s">
        <v>25</v>
      </c>
      <c r="G66" s="3" t="s">
        <v>26</v>
      </c>
      <c r="H66" s="3">
        <v>34793</v>
      </c>
      <c r="I66" s="3">
        <v>109.56</v>
      </c>
      <c r="J66" s="3">
        <v>54.65</v>
      </c>
      <c r="K66" s="3">
        <v>3.1</v>
      </c>
      <c r="L66" s="3" t="s">
        <v>27</v>
      </c>
      <c r="M66" s="3" t="s">
        <v>32</v>
      </c>
      <c r="N66" s="3" t="s">
        <v>154</v>
      </c>
      <c r="O66" s="3" t="s">
        <v>188</v>
      </c>
      <c r="P66" s="3" t="s">
        <v>189</v>
      </c>
      <c r="Q66" s="3" t="s">
        <v>190</v>
      </c>
      <c r="R66" s="9" t="s">
        <v>506</v>
      </c>
    </row>
    <row r="67" spans="1:19" ht="15.75" customHeight="1" x14ac:dyDescent="0.2">
      <c r="A67" s="3" t="s">
        <v>33</v>
      </c>
      <c r="B67" s="3" t="s">
        <v>36</v>
      </c>
      <c r="C67" s="3" t="s">
        <v>184</v>
      </c>
      <c r="D67" s="3" t="s">
        <v>460</v>
      </c>
      <c r="E67" s="3" t="s">
        <v>49</v>
      </c>
      <c r="F67" s="3" t="s">
        <v>25</v>
      </c>
      <c r="G67" s="3" t="s">
        <v>26</v>
      </c>
      <c r="H67" s="3">
        <v>34755</v>
      </c>
      <c r="I67" s="3">
        <v>83.34</v>
      </c>
      <c r="J67" s="3">
        <v>52.61</v>
      </c>
      <c r="K67" s="3">
        <v>3</v>
      </c>
      <c r="L67" s="3"/>
      <c r="M67" s="3" t="s">
        <v>32</v>
      </c>
      <c r="N67" s="3" t="s">
        <v>59</v>
      </c>
      <c r="O67" s="3" t="s">
        <v>185</v>
      </c>
      <c r="P67" s="3" t="s">
        <v>186</v>
      </c>
      <c r="Q67" s="3" t="s">
        <v>187</v>
      </c>
      <c r="R67" s="9" t="s">
        <v>506</v>
      </c>
    </row>
    <row r="68" spans="1:19" ht="15.75" customHeight="1" x14ac:dyDescent="0.2">
      <c r="A68" s="3" t="s">
        <v>33</v>
      </c>
      <c r="B68" s="3" t="s">
        <v>36</v>
      </c>
      <c r="C68" s="3" t="s">
        <v>182</v>
      </c>
      <c r="D68" s="3" t="s">
        <v>461</v>
      </c>
      <c r="E68" s="3" t="s">
        <v>49</v>
      </c>
      <c r="F68" s="3" t="s">
        <v>25</v>
      </c>
      <c r="G68" s="3" t="s">
        <v>26</v>
      </c>
      <c r="H68" s="3">
        <v>16933</v>
      </c>
      <c r="I68" s="3">
        <v>152.91</v>
      </c>
      <c r="J68" s="3">
        <v>70.459999999999994</v>
      </c>
      <c r="K68" s="3">
        <v>7.3</v>
      </c>
      <c r="L68" s="3"/>
      <c r="M68" s="3" t="s">
        <v>32</v>
      </c>
      <c r="N68" s="3" t="s">
        <v>37</v>
      </c>
      <c r="O68" s="3" t="s">
        <v>183</v>
      </c>
      <c r="P68" s="3" t="s">
        <v>21</v>
      </c>
      <c r="Q68" s="3" t="s">
        <v>21</v>
      </c>
      <c r="R68" s="9" t="s">
        <v>506</v>
      </c>
    </row>
    <row r="69" spans="1:19" ht="15.75" customHeight="1" x14ac:dyDescent="0.2">
      <c r="A69" s="3" t="s">
        <v>33</v>
      </c>
      <c r="B69" s="3" t="s">
        <v>36</v>
      </c>
      <c r="C69" s="3" t="s">
        <v>178</v>
      </c>
      <c r="D69" s="3" t="s">
        <v>462</v>
      </c>
      <c r="E69" s="3" t="s">
        <v>49</v>
      </c>
      <c r="F69" s="3" t="s">
        <v>25</v>
      </c>
      <c r="G69" s="3" t="s">
        <v>26</v>
      </c>
      <c r="H69" s="3">
        <v>21019</v>
      </c>
      <c r="I69" s="3">
        <v>97.42</v>
      </c>
      <c r="J69" s="3">
        <v>46.94</v>
      </c>
      <c r="K69" s="3">
        <v>1</v>
      </c>
      <c r="L69" s="3"/>
      <c r="M69" s="3" t="s">
        <v>32</v>
      </c>
      <c r="N69" s="3" t="s">
        <v>69</v>
      </c>
      <c r="O69" s="3" t="s">
        <v>179</v>
      </c>
      <c r="P69" s="3" t="s">
        <v>180</v>
      </c>
      <c r="Q69" s="3" t="s">
        <v>181</v>
      </c>
      <c r="R69" s="9" t="s">
        <v>506</v>
      </c>
    </row>
    <row r="70" spans="1:19" ht="15.75" customHeight="1" x14ac:dyDescent="0.2">
      <c r="A70" s="3" t="s">
        <v>33</v>
      </c>
      <c r="B70" s="3" t="s">
        <v>36</v>
      </c>
      <c r="C70" s="3" t="s">
        <v>296</v>
      </c>
      <c r="D70" s="3" t="s">
        <v>463</v>
      </c>
      <c r="E70" s="3" t="s">
        <v>49</v>
      </c>
      <c r="F70" s="3" t="s">
        <v>100</v>
      </c>
      <c r="G70" s="3" t="s">
        <v>101</v>
      </c>
      <c r="H70" s="3" t="s">
        <v>297</v>
      </c>
      <c r="I70" s="3"/>
      <c r="J70" s="3"/>
      <c r="K70" s="3"/>
      <c r="L70" s="3"/>
      <c r="M70" s="3" t="s">
        <v>32</v>
      </c>
      <c r="N70" s="3" t="s">
        <v>103</v>
      </c>
      <c r="O70" s="3" t="s">
        <v>295</v>
      </c>
      <c r="P70" s="3" t="s">
        <v>21</v>
      </c>
      <c r="Q70" s="3" t="s">
        <v>21</v>
      </c>
      <c r="R70" s="9" t="s">
        <v>515</v>
      </c>
      <c r="S70" t="s">
        <v>516</v>
      </c>
    </row>
    <row r="71" spans="1:19" ht="15.75" customHeight="1" x14ac:dyDescent="0.2">
      <c r="A71" s="3" t="s">
        <v>33</v>
      </c>
      <c r="B71" s="3" t="s">
        <v>36</v>
      </c>
      <c r="C71" s="3" t="s">
        <v>67</v>
      </c>
      <c r="D71" s="3" t="s">
        <v>464</v>
      </c>
      <c r="E71" s="3" t="s">
        <v>49</v>
      </c>
      <c r="F71" s="3" t="s">
        <v>100</v>
      </c>
      <c r="G71" s="3" t="s">
        <v>101</v>
      </c>
      <c r="H71" s="3" t="s">
        <v>294</v>
      </c>
      <c r="I71" s="3"/>
      <c r="J71" s="3"/>
      <c r="K71" s="3"/>
      <c r="L71" s="3" t="s">
        <v>27</v>
      </c>
      <c r="M71" s="3" t="s">
        <v>32</v>
      </c>
      <c r="N71" s="3" t="s">
        <v>103</v>
      </c>
      <c r="O71" s="3" t="s">
        <v>295</v>
      </c>
      <c r="P71" s="3" t="s">
        <v>21</v>
      </c>
      <c r="Q71" s="3" t="s">
        <v>21</v>
      </c>
      <c r="R71" s="9" t="s">
        <v>517</v>
      </c>
      <c r="S71" t="s">
        <v>518</v>
      </c>
    </row>
    <row r="72" spans="1:19" ht="15.75" customHeight="1" x14ac:dyDescent="0.2">
      <c r="A72" s="3" t="s">
        <v>33</v>
      </c>
      <c r="B72" s="3" t="s">
        <v>36</v>
      </c>
      <c r="C72" s="3" t="s">
        <v>67</v>
      </c>
      <c r="D72" s="3" t="s">
        <v>464</v>
      </c>
      <c r="E72" s="3" t="s">
        <v>49</v>
      </c>
      <c r="F72" s="3" t="s">
        <v>100</v>
      </c>
      <c r="G72" s="3" t="s">
        <v>101</v>
      </c>
      <c r="H72" s="3" t="s">
        <v>298</v>
      </c>
      <c r="I72" s="3"/>
      <c r="J72" s="3"/>
      <c r="K72" s="3"/>
      <c r="L72" s="3" t="s">
        <v>27</v>
      </c>
      <c r="M72" s="3" t="s">
        <v>32</v>
      </c>
      <c r="N72" s="3" t="s">
        <v>103</v>
      </c>
      <c r="O72" s="3" t="s">
        <v>295</v>
      </c>
      <c r="P72" s="3" t="s">
        <v>21</v>
      </c>
      <c r="Q72" s="3" t="s">
        <v>21</v>
      </c>
      <c r="R72" s="9" t="s">
        <v>519</v>
      </c>
      <c r="S72" t="s">
        <v>520</v>
      </c>
    </row>
    <row r="73" spans="1:19" ht="15.75" customHeight="1" x14ac:dyDescent="0.2">
      <c r="A73" s="3" t="s">
        <v>110</v>
      </c>
      <c r="B73" s="3" t="s">
        <v>114</v>
      </c>
      <c r="C73" s="3" t="s">
        <v>115</v>
      </c>
      <c r="D73" s="3" t="s">
        <v>465</v>
      </c>
      <c r="E73" s="3" t="s">
        <v>19</v>
      </c>
      <c r="F73" s="3" t="s">
        <v>20</v>
      </c>
      <c r="G73" s="3" t="s">
        <v>400</v>
      </c>
      <c r="H73" s="3" t="s">
        <v>400</v>
      </c>
      <c r="I73" s="3"/>
      <c r="J73" s="3"/>
      <c r="K73" s="3"/>
      <c r="L73" s="3"/>
      <c r="M73" s="3" t="s">
        <v>22</v>
      </c>
      <c r="N73" s="3" t="s">
        <v>22</v>
      </c>
      <c r="O73" s="3" t="s">
        <v>22</v>
      </c>
      <c r="P73" s="3" t="s">
        <v>21</v>
      </c>
      <c r="Q73" s="3" t="s">
        <v>21</v>
      </c>
      <c r="R73" s="9"/>
    </row>
    <row r="74" spans="1:19" ht="15.75" customHeight="1" x14ac:dyDescent="0.2">
      <c r="A74" s="3" t="s">
        <v>33</v>
      </c>
      <c r="B74" s="3" t="s">
        <v>54</v>
      </c>
      <c r="C74" s="3" t="s">
        <v>273</v>
      </c>
      <c r="D74" s="3" t="s">
        <v>466</v>
      </c>
      <c r="E74" s="3" t="s">
        <v>49</v>
      </c>
      <c r="F74" s="3" t="s">
        <v>25</v>
      </c>
      <c r="G74" s="3" t="s">
        <v>45</v>
      </c>
      <c r="H74" s="3">
        <v>182503</v>
      </c>
      <c r="I74" s="3">
        <v>84.15</v>
      </c>
      <c r="J74" s="3">
        <v>44.42</v>
      </c>
      <c r="K74" s="3">
        <v>2</v>
      </c>
      <c r="L74" s="3"/>
      <c r="M74" s="3" t="s">
        <v>41</v>
      </c>
      <c r="N74" s="3" t="s">
        <v>274</v>
      </c>
      <c r="O74" s="3" t="s">
        <v>275</v>
      </c>
      <c r="P74" s="3" t="s">
        <v>21</v>
      </c>
      <c r="Q74" s="3" t="s">
        <v>21</v>
      </c>
      <c r="R74" s="9" t="s">
        <v>506</v>
      </c>
    </row>
    <row r="75" spans="1:19" ht="15.75" customHeight="1" x14ac:dyDescent="0.2">
      <c r="A75" s="3" t="s">
        <v>33</v>
      </c>
      <c r="B75" s="3" t="s">
        <v>54</v>
      </c>
      <c r="C75" s="3" t="s">
        <v>271</v>
      </c>
      <c r="D75" s="3" t="s">
        <v>467</v>
      </c>
      <c r="E75" s="3" t="s">
        <v>49</v>
      </c>
      <c r="F75" s="3" t="s">
        <v>25</v>
      </c>
      <c r="G75" s="3" t="s">
        <v>45</v>
      </c>
      <c r="H75" s="3">
        <v>59283</v>
      </c>
      <c r="I75" s="3">
        <v>93.63</v>
      </c>
      <c r="J75" s="3">
        <v>47.27</v>
      </c>
      <c r="K75" s="3">
        <v>2</v>
      </c>
      <c r="L75" s="3"/>
      <c r="M75" s="3" t="s">
        <v>88</v>
      </c>
      <c r="N75" s="3" t="s">
        <v>89</v>
      </c>
      <c r="O75" s="3" t="s">
        <v>272</v>
      </c>
      <c r="P75" s="3" t="s">
        <v>21</v>
      </c>
      <c r="Q75" s="3" t="s">
        <v>21</v>
      </c>
      <c r="R75" s="9" t="s">
        <v>506</v>
      </c>
    </row>
    <row r="76" spans="1:19" ht="15.75" customHeight="1" x14ac:dyDescent="0.2">
      <c r="A76" s="3" t="s">
        <v>33</v>
      </c>
      <c r="B76" s="3" t="s">
        <v>54</v>
      </c>
      <c r="C76" s="3" t="s">
        <v>392</v>
      </c>
      <c r="D76" s="3" t="s">
        <v>468</v>
      </c>
      <c r="E76" s="3" t="s">
        <v>49</v>
      </c>
      <c r="F76" s="3" t="s">
        <v>25</v>
      </c>
      <c r="G76" s="3" t="s">
        <v>45</v>
      </c>
      <c r="H76" s="3">
        <v>136515</v>
      </c>
      <c r="I76" s="3">
        <v>91.02</v>
      </c>
      <c r="J76" s="3">
        <v>43.56</v>
      </c>
      <c r="K76" s="3">
        <v>1.7</v>
      </c>
      <c r="L76" s="3"/>
      <c r="M76" s="3" t="s">
        <v>41</v>
      </c>
      <c r="N76" s="3" t="s">
        <v>92</v>
      </c>
      <c r="O76" s="3" t="s">
        <v>393</v>
      </c>
      <c r="P76" s="3" t="s">
        <v>394</v>
      </c>
      <c r="Q76" s="3" t="s">
        <v>21</v>
      </c>
      <c r="R76" s="9" t="s">
        <v>506</v>
      </c>
    </row>
    <row r="77" spans="1:19" ht="15.75" customHeight="1" x14ac:dyDescent="0.2">
      <c r="A77" s="3" t="s">
        <v>191</v>
      </c>
      <c r="B77" s="3" t="s">
        <v>192</v>
      </c>
      <c r="C77" s="3" t="s">
        <v>193</v>
      </c>
      <c r="D77" s="3" t="s">
        <v>469</v>
      </c>
      <c r="E77" s="3" t="s">
        <v>49</v>
      </c>
      <c r="F77" s="3" t="s">
        <v>25</v>
      </c>
      <c r="G77" s="3" t="s">
        <v>26</v>
      </c>
      <c r="H77" s="3">
        <v>34779</v>
      </c>
      <c r="I77" s="3">
        <v>67.36</v>
      </c>
      <c r="J77" s="3">
        <v>43.25</v>
      </c>
      <c r="K77" s="3">
        <v>2.8</v>
      </c>
      <c r="L77" s="3"/>
      <c r="M77" s="3" t="s">
        <v>32</v>
      </c>
      <c r="N77" s="3" t="s">
        <v>154</v>
      </c>
      <c r="O77" s="3" t="s">
        <v>194</v>
      </c>
      <c r="P77" s="3" t="s">
        <v>195</v>
      </c>
      <c r="Q77" s="3" t="s">
        <v>196</v>
      </c>
      <c r="R77" s="9" t="s">
        <v>506</v>
      </c>
    </row>
    <row r="78" spans="1:19" ht="15.75" customHeight="1" x14ac:dyDescent="0.2">
      <c r="A78" s="3" t="s">
        <v>65</v>
      </c>
      <c r="B78" s="3" t="s">
        <v>276</v>
      </c>
      <c r="C78" s="3" t="s">
        <v>277</v>
      </c>
      <c r="D78" s="3" t="s">
        <v>470</v>
      </c>
      <c r="E78" s="3" t="s">
        <v>49</v>
      </c>
      <c r="F78" s="3" t="s">
        <v>25</v>
      </c>
      <c r="G78" s="3" t="s">
        <v>45</v>
      </c>
      <c r="H78" s="3">
        <v>144178</v>
      </c>
      <c r="I78" s="3">
        <v>155.94999999999999</v>
      </c>
      <c r="J78" s="3">
        <v>94.19</v>
      </c>
      <c r="K78" s="3">
        <v>41</v>
      </c>
      <c r="L78" s="3"/>
      <c r="M78" s="3" t="s">
        <v>278</v>
      </c>
      <c r="N78" s="3" t="s">
        <v>279</v>
      </c>
      <c r="O78" s="3" t="s">
        <v>280</v>
      </c>
      <c r="P78" s="3" t="s">
        <v>281</v>
      </c>
      <c r="Q78" s="3" t="s">
        <v>21</v>
      </c>
      <c r="R78" s="9" t="s">
        <v>506</v>
      </c>
    </row>
    <row r="79" spans="1:19" ht="15.75" customHeight="1" x14ac:dyDescent="0.2">
      <c r="A79" s="3" t="s">
        <v>51</v>
      </c>
      <c r="B79" s="3" t="s">
        <v>282</v>
      </c>
      <c r="C79" s="3" t="s">
        <v>283</v>
      </c>
      <c r="D79" s="3" t="s">
        <v>471</v>
      </c>
      <c r="E79" s="3" t="s">
        <v>49</v>
      </c>
      <c r="F79" s="3" t="s">
        <v>25</v>
      </c>
      <c r="G79" s="3" t="s">
        <v>45</v>
      </c>
      <c r="H79" s="3">
        <v>212725</v>
      </c>
      <c r="I79" s="3">
        <v>109.15</v>
      </c>
      <c r="J79" s="3">
        <v>57.01</v>
      </c>
      <c r="K79" s="3">
        <v>1.6</v>
      </c>
      <c r="L79" s="3" t="s">
        <v>27</v>
      </c>
      <c r="M79" s="3" t="s">
        <v>53</v>
      </c>
      <c r="N79" s="3" t="s">
        <v>284</v>
      </c>
      <c r="O79" s="3" t="s">
        <v>285</v>
      </c>
      <c r="P79" s="3" t="s">
        <v>21</v>
      </c>
      <c r="Q79" s="3" t="s">
        <v>21</v>
      </c>
      <c r="R79" s="9" t="s">
        <v>506</v>
      </c>
    </row>
    <row r="80" spans="1:19" ht="15.75" customHeight="1" x14ac:dyDescent="0.2">
      <c r="A80" s="3" t="s">
        <v>110</v>
      </c>
      <c r="B80" s="3" t="s">
        <v>111</v>
      </c>
      <c r="C80" s="3" t="s">
        <v>112</v>
      </c>
      <c r="D80" s="3" t="s">
        <v>472</v>
      </c>
      <c r="E80" s="3" t="s">
        <v>19</v>
      </c>
      <c r="F80" s="3" t="s">
        <v>100</v>
      </c>
      <c r="G80" s="3" t="s">
        <v>313</v>
      </c>
      <c r="H80" s="3">
        <v>15426</v>
      </c>
      <c r="I80" s="3"/>
      <c r="J80" s="3"/>
      <c r="K80" s="3"/>
      <c r="L80" s="3" t="s">
        <v>30</v>
      </c>
      <c r="M80" s="3" t="s">
        <v>22</v>
      </c>
      <c r="N80" s="3" t="s">
        <v>22</v>
      </c>
      <c r="O80" s="3" t="s">
        <v>22</v>
      </c>
      <c r="P80" s="3" t="s">
        <v>21</v>
      </c>
      <c r="Q80" s="3" t="s">
        <v>21</v>
      </c>
      <c r="R80" s="9" t="s">
        <v>521</v>
      </c>
      <c r="S80" t="s">
        <v>522</v>
      </c>
    </row>
    <row r="81" spans="1:19" ht="15.75" customHeight="1" x14ac:dyDescent="0.2">
      <c r="A81" s="3" t="s">
        <v>65</v>
      </c>
      <c r="B81" s="3" t="s">
        <v>82</v>
      </c>
      <c r="C81" s="3" t="s">
        <v>83</v>
      </c>
      <c r="D81" s="3" t="s">
        <v>473</v>
      </c>
      <c r="E81" s="3" t="s">
        <v>49</v>
      </c>
      <c r="F81" s="3" t="s">
        <v>25</v>
      </c>
      <c r="G81" s="3" t="s">
        <v>26</v>
      </c>
      <c r="H81" s="3">
        <v>16068</v>
      </c>
      <c r="I81" s="3">
        <v>127.96</v>
      </c>
      <c r="J81" s="3">
        <v>61.17</v>
      </c>
      <c r="K81" s="3">
        <v>6.9</v>
      </c>
      <c r="L81" s="3" t="s">
        <v>30</v>
      </c>
      <c r="M81" s="3" t="s">
        <v>28</v>
      </c>
      <c r="N81" s="3" t="s">
        <v>68</v>
      </c>
      <c r="O81" s="3" t="s">
        <v>197</v>
      </c>
      <c r="P81" s="3" t="s">
        <v>198</v>
      </c>
      <c r="Q81" s="3" t="s">
        <v>199</v>
      </c>
      <c r="R81" s="9" t="s">
        <v>506</v>
      </c>
    </row>
    <row r="82" spans="1:19" ht="15.75" customHeight="1" x14ac:dyDescent="0.2">
      <c r="A82" s="3" t="s">
        <v>65</v>
      </c>
      <c r="B82" s="3" t="s">
        <v>82</v>
      </c>
      <c r="C82" s="3" t="s">
        <v>83</v>
      </c>
      <c r="D82" s="3" t="s">
        <v>473</v>
      </c>
      <c r="E82" s="3" t="s">
        <v>49</v>
      </c>
      <c r="F82" s="3" t="s">
        <v>25</v>
      </c>
      <c r="G82" s="3" t="s">
        <v>40</v>
      </c>
      <c r="H82" s="3">
        <v>85374</v>
      </c>
      <c r="I82" s="3">
        <v>150.47999999999999</v>
      </c>
      <c r="J82" s="3">
        <v>68.05</v>
      </c>
      <c r="K82" s="3">
        <v>9.5</v>
      </c>
      <c r="L82" s="3" t="s">
        <v>30</v>
      </c>
      <c r="M82" s="3" t="s">
        <v>32</v>
      </c>
      <c r="N82" s="3" t="s">
        <v>59</v>
      </c>
      <c r="O82" s="3" t="s">
        <v>84</v>
      </c>
      <c r="P82" s="3"/>
      <c r="Q82" s="3"/>
      <c r="R82" s="7" t="s">
        <v>486</v>
      </c>
      <c r="S82" t="s">
        <v>487</v>
      </c>
    </row>
    <row r="83" spans="1:19" ht="15.75" customHeight="1" x14ac:dyDescent="0.2">
      <c r="A83" s="3" t="s">
        <v>33</v>
      </c>
      <c r="B83" s="3" t="s">
        <v>93</v>
      </c>
      <c r="C83" s="3" t="s">
        <v>289</v>
      </c>
      <c r="D83" s="3" t="s">
        <v>474</v>
      </c>
      <c r="E83" s="3" t="s">
        <v>49</v>
      </c>
      <c r="F83" s="3" t="s">
        <v>25</v>
      </c>
      <c r="G83" s="3" t="s">
        <v>45</v>
      </c>
      <c r="H83" s="3">
        <v>136521</v>
      </c>
      <c r="I83" s="3">
        <v>64.2</v>
      </c>
      <c r="J83" s="3">
        <v>30.74</v>
      </c>
      <c r="K83" s="3">
        <v>0.9</v>
      </c>
      <c r="L83" s="3" t="s">
        <v>30</v>
      </c>
      <c r="M83" s="3" t="s">
        <v>41</v>
      </c>
      <c r="N83" s="3" t="s">
        <v>92</v>
      </c>
      <c r="O83" s="3" t="s">
        <v>98</v>
      </c>
      <c r="P83" s="3" t="s">
        <v>99</v>
      </c>
      <c r="Q83" s="3" t="s">
        <v>21</v>
      </c>
      <c r="R83" s="9" t="s">
        <v>506</v>
      </c>
    </row>
    <row r="84" spans="1:19" ht="15.75" customHeight="1" x14ac:dyDescent="0.2">
      <c r="A84" s="3" t="s">
        <v>33</v>
      </c>
      <c r="B84" s="3" t="s">
        <v>93</v>
      </c>
      <c r="C84" s="3" t="s">
        <v>94</v>
      </c>
      <c r="D84" s="3" t="s">
        <v>475</v>
      </c>
      <c r="E84" s="3" t="s">
        <v>49</v>
      </c>
      <c r="F84" s="3" t="s">
        <v>25</v>
      </c>
      <c r="G84" s="3" t="s">
        <v>45</v>
      </c>
      <c r="H84" s="3">
        <v>106887</v>
      </c>
      <c r="I84" s="3">
        <v>45.1</v>
      </c>
      <c r="J84" s="3">
        <v>22.61</v>
      </c>
      <c r="K84" s="3">
        <v>0.3</v>
      </c>
      <c r="L84" s="3" t="s">
        <v>30</v>
      </c>
      <c r="M84" s="3" t="s">
        <v>41</v>
      </c>
      <c r="N84" s="3" t="s">
        <v>95</v>
      </c>
      <c r="O84" s="3" t="s">
        <v>96</v>
      </c>
      <c r="P84" s="3" t="s">
        <v>97</v>
      </c>
      <c r="Q84" s="3" t="s">
        <v>21</v>
      </c>
      <c r="R84" s="9" t="s">
        <v>506</v>
      </c>
    </row>
    <row r="85" spans="1:19" ht="15.75" customHeight="1" x14ac:dyDescent="0.2">
      <c r="A85" s="3" t="s">
        <v>33</v>
      </c>
      <c r="B85" s="3" t="s">
        <v>93</v>
      </c>
      <c r="C85" s="3" t="s">
        <v>395</v>
      </c>
      <c r="D85" s="3" t="s">
        <v>476</v>
      </c>
      <c r="E85" s="3" t="s">
        <v>49</v>
      </c>
      <c r="F85" s="3" t="s">
        <v>25</v>
      </c>
      <c r="G85" s="3" t="s">
        <v>45</v>
      </c>
      <c r="H85" s="3">
        <v>110050</v>
      </c>
      <c r="I85" s="3">
        <v>46.76</v>
      </c>
      <c r="J85" s="3">
        <v>21.89</v>
      </c>
      <c r="K85" s="3">
        <v>0.9</v>
      </c>
      <c r="L85" s="3"/>
      <c r="M85" s="3" t="s">
        <v>41</v>
      </c>
      <c r="N85" s="3" t="s">
        <v>92</v>
      </c>
      <c r="O85" s="3" t="s">
        <v>98</v>
      </c>
      <c r="P85" s="3" t="s">
        <v>99</v>
      </c>
      <c r="Q85" s="3" t="s">
        <v>21</v>
      </c>
      <c r="R85" s="9" t="s">
        <v>506</v>
      </c>
    </row>
    <row r="86" spans="1:19" ht="15.75" customHeight="1" x14ac:dyDescent="0.2">
      <c r="A86" s="3" t="s">
        <v>33</v>
      </c>
      <c r="B86" s="3" t="s">
        <v>93</v>
      </c>
      <c r="C86" s="3" t="s">
        <v>286</v>
      </c>
      <c r="D86" s="3" t="s">
        <v>477</v>
      </c>
      <c r="E86" s="3" t="s">
        <v>49</v>
      </c>
      <c r="F86" s="3" t="s">
        <v>25</v>
      </c>
      <c r="G86" s="3" t="s">
        <v>45</v>
      </c>
      <c r="H86" s="3">
        <v>106865</v>
      </c>
      <c r="I86" s="3">
        <v>44.68</v>
      </c>
      <c r="J86" s="3">
        <v>19.91</v>
      </c>
      <c r="K86" s="3">
        <v>0.75</v>
      </c>
      <c r="L86" s="3" t="s">
        <v>30</v>
      </c>
      <c r="M86" s="3" t="s">
        <v>41</v>
      </c>
      <c r="N86" s="3" t="s">
        <v>46</v>
      </c>
      <c r="O86" s="3" t="s">
        <v>287</v>
      </c>
      <c r="P86" s="3" t="s">
        <v>288</v>
      </c>
      <c r="Q86" s="3" t="s">
        <v>21</v>
      </c>
      <c r="R86" s="9" t="s">
        <v>506</v>
      </c>
    </row>
    <row r="87" spans="1:19" ht="15.75" customHeight="1" x14ac:dyDescent="0.2">
      <c r="A87" s="3" t="s">
        <v>33</v>
      </c>
      <c r="B87" s="3" t="s">
        <v>93</v>
      </c>
      <c r="C87" s="3" t="s">
        <v>290</v>
      </c>
      <c r="D87" s="3" t="s">
        <v>478</v>
      </c>
      <c r="E87" s="3" t="s">
        <v>49</v>
      </c>
      <c r="F87" s="3" t="s">
        <v>25</v>
      </c>
      <c r="G87" s="3" t="s">
        <v>45</v>
      </c>
      <c r="H87" s="3">
        <v>106926</v>
      </c>
      <c r="I87" s="3">
        <v>48.67</v>
      </c>
      <c r="J87" s="3">
        <v>22.78</v>
      </c>
      <c r="K87" s="3">
        <v>0.6</v>
      </c>
      <c r="L87" s="3"/>
      <c r="M87" s="3" t="s">
        <v>41</v>
      </c>
      <c r="N87" s="3" t="s">
        <v>46</v>
      </c>
      <c r="O87" s="3" t="s">
        <v>291</v>
      </c>
      <c r="P87" s="3" t="s">
        <v>21</v>
      </c>
      <c r="Q87" s="3" t="s">
        <v>21</v>
      </c>
      <c r="R87" s="9" t="s">
        <v>506</v>
      </c>
    </row>
    <row r="88" spans="1:19" ht="15.75" customHeight="1" x14ac:dyDescent="0.2">
      <c r="A88" s="3" t="s">
        <v>65</v>
      </c>
      <c r="B88" s="3" t="s">
        <v>200</v>
      </c>
      <c r="C88" s="3" t="s">
        <v>201</v>
      </c>
      <c r="D88" s="3" t="s">
        <v>479</v>
      </c>
      <c r="E88" s="3" t="s">
        <v>49</v>
      </c>
      <c r="F88" s="3" t="s">
        <v>25</v>
      </c>
      <c r="G88" s="3" t="s">
        <v>26</v>
      </c>
      <c r="H88" s="3">
        <v>4331</v>
      </c>
      <c r="I88" s="3">
        <v>125.43</v>
      </c>
      <c r="J88" s="3">
        <v>75.36</v>
      </c>
      <c r="K88" s="3">
        <v>10.5</v>
      </c>
      <c r="L88" s="3"/>
      <c r="M88" s="3" t="s">
        <v>22</v>
      </c>
      <c r="N88" s="3" t="s">
        <v>22</v>
      </c>
      <c r="O88" s="3" t="s">
        <v>22</v>
      </c>
      <c r="P88" s="3" t="s">
        <v>21</v>
      </c>
      <c r="Q88" s="3" t="s">
        <v>21</v>
      </c>
      <c r="R88" s="9" t="s">
        <v>506</v>
      </c>
    </row>
    <row r="89" spans="1:19" ht="15.75" customHeight="1" x14ac:dyDescent="0.2">
      <c r="A89" s="3" t="s">
        <v>65</v>
      </c>
      <c r="B89" s="3" t="s">
        <v>200</v>
      </c>
      <c r="C89" s="3" t="s">
        <v>292</v>
      </c>
      <c r="D89" s="3" t="s">
        <v>480</v>
      </c>
      <c r="E89" s="3" t="s">
        <v>49</v>
      </c>
      <c r="F89" s="3" t="s">
        <v>25</v>
      </c>
      <c r="G89" s="3" t="s">
        <v>45</v>
      </c>
      <c r="H89" s="3">
        <v>144198</v>
      </c>
      <c r="I89" s="3">
        <v>109.11</v>
      </c>
      <c r="J89" s="3">
        <v>54.15</v>
      </c>
      <c r="K89" s="3">
        <v>5.8</v>
      </c>
      <c r="L89" s="3" t="s">
        <v>27</v>
      </c>
      <c r="M89" s="3" t="s">
        <v>278</v>
      </c>
      <c r="N89" s="3" t="s">
        <v>279</v>
      </c>
      <c r="O89" s="3" t="s">
        <v>293</v>
      </c>
      <c r="P89" s="3" t="s">
        <v>21</v>
      </c>
      <c r="Q89" s="3" t="s">
        <v>21</v>
      </c>
      <c r="R89" s="9" t="s">
        <v>506</v>
      </c>
    </row>
    <row r="90" spans="1:19" ht="15.75" customHeight="1" x14ac:dyDescent="0.2">
      <c r="A90" s="3" t="s">
        <v>65</v>
      </c>
      <c r="B90" s="3" t="s">
        <v>343</v>
      </c>
      <c r="C90" s="3" t="s">
        <v>344</v>
      </c>
      <c r="D90" s="3" t="s">
        <v>481</v>
      </c>
      <c r="E90" s="3" t="s">
        <v>49</v>
      </c>
      <c r="F90" s="3" t="s">
        <v>25</v>
      </c>
      <c r="G90" s="3" t="s">
        <v>336</v>
      </c>
      <c r="H90" s="3">
        <v>35339</v>
      </c>
      <c r="I90" s="3">
        <v>114.21</v>
      </c>
      <c r="J90" s="3">
        <v>57.44</v>
      </c>
      <c r="K90" s="3">
        <v>9.8000000000000007</v>
      </c>
      <c r="L90" s="3" t="s">
        <v>27</v>
      </c>
      <c r="M90" s="3" t="s">
        <v>345</v>
      </c>
      <c r="N90" s="3" t="s">
        <v>346</v>
      </c>
      <c r="O90" s="3" t="s">
        <v>347</v>
      </c>
      <c r="P90" s="3" t="s">
        <v>348</v>
      </c>
      <c r="Q90" s="3" t="s">
        <v>349</v>
      </c>
      <c r="R90" s="7" t="s">
        <v>496</v>
      </c>
      <c r="S90" t="s">
        <v>497</v>
      </c>
    </row>
    <row r="91" spans="1:19" ht="15.75" customHeight="1" x14ac:dyDescent="0.2"/>
    <row r="92" spans="1:19" ht="15.75" customHeight="1" x14ac:dyDescent="0.2"/>
    <row r="93" spans="1:19" ht="15.75" customHeight="1" x14ac:dyDescent="0.2"/>
    <row r="94" spans="1:19" ht="15.75" customHeight="1" x14ac:dyDescent="0.2"/>
    <row r="95" spans="1:19" ht="15.75" customHeight="1" x14ac:dyDescent="0.2"/>
    <row r="96" spans="1:1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</sheetData>
  <sortState xmlns:xlrd2="http://schemas.microsoft.com/office/spreadsheetml/2017/richdata2" ref="A2:Q942">
    <sortCondition ref="C1:C94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2.5703125" defaultRowHeight="15" customHeight="1" x14ac:dyDescent="0.2"/>
  <cols>
    <col min="1" max="1" width="14.42578125" customWidth="1"/>
    <col min="2" max="2" width="13.7109375" customWidth="1"/>
    <col min="3" max="3" width="20.7109375" customWidth="1"/>
    <col min="4" max="4" width="22.28515625" customWidth="1"/>
    <col min="5" max="5" width="22.7109375" customWidth="1"/>
    <col min="6" max="6" width="12.570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356</v>
      </c>
      <c r="D1" s="1" t="s">
        <v>357</v>
      </c>
      <c r="E1" s="1" t="s">
        <v>356</v>
      </c>
    </row>
    <row r="2" spans="1:5" ht="15.75" customHeight="1" x14ac:dyDescent="0.25">
      <c r="A2" s="1" t="s">
        <v>23</v>
      </c>
      <c r="B2" s="1" t="s">
        <v>24</v>
      </c>
      <c r="C2" s="2">
        <v>4</v>
      </c>
      <c r="D2" s="2">
        <v>7</v>
      </c>
      <c r="E2" s="2">
        <v>0</v>
      </c>
    </row>
    <row r="3" spans="1:5" ht="15.75" customHeight="1" x14ac:dyDescent="0.25">
      <c r="A3" s="1" t="s">
        <v>299</v>
      </c>
      <c r="B3" s="1" t="s">
        <v>300</v>
      </c>
      <c r="C3" s="2">
        <v>0</v>
      </c>
      <c r="D3" s="2">
        <v>1</v>
      </c>
      <c r="E3" s="2">
        <v>0</v>
      </c>
    </row>
    <row r="4" spans="1:5" ht="15.75" customHeight="1" x14ac:dyDescent="0.25">
      <c r="A4" s="1" t="s">
        <v>304</v>
      </c>
      <c r="B4" s="1" t="s">
        <v>358</v>
      </c>
      <c r="C4" s="2">
        <v>0</v>
      </c>
      <c r="D4" s="2">
        <v>0</v>
      </c>
      <c r="E4" s="2">
        <v>0</v>
      </c>
    </row>
    <row r="5" spans="1:5" ht="15.75" customHeight="1" x14ac:dyDescent="0.25">
      <c r="A5" s="1" t="s">
        <v>33</v>
      </c>
      <c r="B5" s="1" t="s">
        <v>135</v>
      </c>
      <c r="C5" s="2">
        <v>1</v>
      </c>
      <c r="D5" s="2">
        <v>3</v>
      </c>
      <c r="E5" s="2">
        <v>0</v>
      </c>
    </row>
    <row r="6" spans="1:5" ht="15.75" customHeight="1" x14ac:dyDescent="0.25">
      <c r="A6" s="1" t="s">
        <v>33</v>
      </c>
      <c r="B6" s="1" t="s">
        <v>211</v>
      </c>
      <c r="C6" s="2">
        <v>1</v>
      </c>
      <c r="D6" s="2">
        <v>1</v>
      </c>
      <c r="E6" s="2">
        <v>0</v>
      </c>
    </row>
    <row r="7" spans="1:5" ht="15.75" customHeight="1" x14ac:dyDescent="0.25">
      <c r="A7" s="1" t="s">
        <v>33</v>
      </c>
      <c r="B7" s="1" t="s">
        <v>58</v>
      </c>
      <c r="C7" s="2">
        <v>3</v>
      </c>
      <c r="D7" s="2">
        <v>3</v>
      </c>
      <c r="E7" s="2">
        <v>0</v>
      </c>
    </row>
    <row r="8" spans="1:5" ht="15.75" customHeight="1" x14ac:dyDescent="0.25">
      <c r="A8" s="1" t="s">
        <v>51</v>
      </c>
      <c r="B8" s="1" t="s">
        <v>202</v>
      </c>
      <c r="C8" s="2">
        <v>1</v>
      </c>
      <c r="D8" s="2">
        <v>1</v>
      </c>
      <c r="E8" s="2">
        <v>0</v>
      </c>
    </row>
    <row r="9" spans="1:5" ht="15.75" customHeight="1" x14ac:dyDescent="0.25">
      <c r="A9" s="1" t="s">
        <v>33</v>
      </c>
      <c r="B9" s="1" t="s">
        <v>44</v>
      </c>
      <c r="C9" s="2">
        <v>19</v>
      </c>
      <c r="D9" s="2">
        <v>19</v>
      </c>
      <c r="E9" s="2">
        <v>0</v>
      </c>
    </row>
    <row r="10" spans="1:5" ht="15.75" customHeight="1" x14ac:dyDescent="0.25">
      <c r="A10" s="1" t="s">
        <v>33</v>
      </c>
      <c r="B10" s="1" t="s">
        <v>359</v>
      </c>
      <c r="C10" s="2">
        <v>0</v>
      </c>
      <c r="D10" s="2">
        <v>0</v>
      </c>
      <c r="E10" s="2">
        <v>0</v>
      </c>
    </row>
    <row r="11" spans="1:5" ht="15.75" customHeight="1" x14ac:dyDescent="0.25">
      <c r="A11" s="1" t="s">
        <v>65</v>
      </c>
      <c r="B11" s="1" t="s">
        <v>360</v>
      </c>
      <c r="C11" s="2">
        <v>0</v>
      </c>
      <c r="D11" s="2">
        <v>0</v>
      </c>
      <c r="E11" s="2">
        <v>0</v>
      </c>
    </row>
    <row r="12" spans="1:5" ht="15.75" customHeight="1" x14ac:dyDescent="0.25">
      <c r="A12" s="1" t="s">
        <v>65</v>
      </c>
      <c r="B12" s="1" t="s">
        <v>361</v>
      </c>
      <c r="C12" s="2">
        <v>0</v>
      </c>
      <c r="D12" s="2">
        <v>0</v>
      </c>
      <c r="E12" s="2">
        <v>0</v>
      </c>
    </row>
    <row r="13" spans="1:5" ht="15.75" customHeight="1" x14ac:dyDescent="0.25">
      <c r="A13" s="1" t="s">
        <v>33</v>
      </c>
      <c r="B13" s="1" t="s">
        <v>90</v>
      </c>
      <c r="C13" s="2">
        <v>3</v>
      </c>
      <c r="D13" s="2">
        <v>3</v>
      </c>
      <c r="E13" s="2">
        <v>0</v>
      </c>
    </row>
    <row r="14" spans="1:5" ht="15.75" customHeight="1" x14ac:dyDescent="0.25">
      <c r="A14" s="1" t="s">
        <v>304</v>
      </c>
      <c r="B14" s="1" t="s">
        <v>305</v>
      </c>
      <c r="C14" s="2">
        <v>0</v>
      </c>
      <c r="D14" s="2">
        <v>1</v>
      </c>
      <c r="E14" s="2">
        <v>0</v>
      </c>
    </row>
    <row r="15" spans="1:5" ht="15.75" customHeight="1" x14ac:dyDescent="0.25">
      <c r="A15" s="1" t="s">
        <v>33</v>
      </c>
      <c r="B15" s="1" t="s">
        <v>314</v>
      </c>
      <c r="C15" s="2">
        <v>1</v>
      </c>
      <c r="D15" s="2">
        <v>0</v>
      </c>
      <c r="E15" s="2">
        <v>1</v>
      </c>
    </row>
    <row r="16" spans="1:5" ht="15.75" customHeight="1" x14ac:dyDescent="0.25">
      <c r="A16" s="1" t="s">
        <v>65</v>
      </c>
      <c r="B16" s="1" t="s">
        <v>145</v>
      </c>
      <c r="C16" s="2">
        <v>1</v>
      </c>
      <c r="D16" s="2">
        <v>1</v>
      </c>
      <c r="E16" s="2">
        <v>0</v>
      </c>
    </row>
    <row r="17" spans="1:5" ht="15.75" customHeight="1" x14ac:dyDescent="0.25">
      <c r="A17" s="1" t="s">
        <v>33</v>
      </c>
      <c r="B17" s="1" t="s">
        <v>317</v>
      </c>
      <c r="C17" s="2">
        <v>1</v>
      </c>
      <c r="D17" s="2">
        <v>1</v>
      </c>
      <c r="E17" s="2">
        <v>0</v>
      </c>
    </row>
    <row r="18" spans="1:5" ht="15.75" customHeight="1" x14ac:dyDescent="0.25">
      <c r="A18" s="1" t="s">
        <v>33</v>
      </c>
      <c r="B18" s="1" t="s">
        <v>63</v>
      </c>
      <c r="C18" s="2">
        <v>3</v>
      </c>
      <c r="D18" s="2">
        <v>4</v>
      </c>
      <c r="E18" s="2">
        <v>0</v>
      </c>
    </row>
    <row r="19" spans="1:5" ht="15.75" customHeight="1" x14ac:dyDescent="0.25">
      <c r="A19" s="1" t="s">
        <v>308</v>
      </c>
      <c r="B19" s="1" t="s">
        <v>309</v>
      </c>
      <c r="C19" s="2">
        <v>1</v>
      </c>
      <c r="D19" s="2">
        <v>1</v>
      </c>
      <c r="E19" s="2">
        <v>0</v>
      </c>
    </row>
    <row r="20" spans="1:5" ht="15.75" customHeight="1" x14ac:dyDescent="0.25">
      <c r="A20" s="1" t="s">
        <v>65</v>
      </c>
      <c r="B20" s="1" t="s">
        <v>362</v>
      </c>
      <c r="C20" s="2">
        <v>0</v>
      </c>
      <c r="D20" s="2">
        <v>0</v>
      </c>
      <c r="E20" s="2">
        <v>0</v>
      </c>
    </row>
    <row r="21" spans="1:5" ht="15.75" customHeight="1" x14ac:dyDescent="0.25">
      <c r="A21" s="1" t="s">
        <v>33</v>
      </c>
      <c r="B21" s="1" t="s">
        <v>152</v>
      </c>
      <c r="C21" s="2">
        <v>0</v>
      </c>
      <c r="D21" s="2">
        <v>1</v>
      </c>
      <c r="E21" s="2">
        <v>0</v>
      </c>
    </row>
    <row r="22" spans="1:5" ht="15.75" customHeight="1" x14ac:dyDescent="0.25">
      <c r="A22" s="1" t="s">
        <v>65</v>
      </c>
      <c r="B22" s="1" t="s">
        <v>363</v>
      </c>
      <c r="C22" s="2">
        <v>0</v>
      </c>
      <c r="D22" s="2">
        <v>0</v>
      </c>
      <c r="E22" s="2">
        <v>0</v>
      </c>
    </row>
    <row r="23" spans="1:5" ht="15.75" customHeight="1" x14ac:dyDescent="0.25">
      <c r="A23" s="1" t="s">
        <v>33</v>
      </c>
      <c r="B23" s="1" t="s">
        <v>34</v>
      </c>
      <c r="C23" s="2">
        <v>5</v>
      </c>
      <c r="D23" s="2">
        <v>5</v>
      </c>
      <c r="E23" s="2">
        <v>0</v>
      </c>
    </row>
    <row r="24" spans="1:5" ht="15.75" customHeight="1" x14ac:dyDescent="0.25">
      <c r="A24" s="1" t="s">
        <v>33</v>
      </c>
      <c r="B24" s="1" t="s">
        <v>165</v>
      </c>
      <c r="C24" s="2">
        <v>1</v>
      </c>
      <c r="D24" s="2">
        <v>1</v>
      </c>
      <c r="E24" s="2">
        <v>0</v>
      </c>
    </row>
    <row r="25" spans="1:5" ht="15.75" customHeight="1" x14ac:dyDescent="0.25">
      <c r="A25" s="1" t="s">
        <v>33</v>
      </c>
      <c r="B25" s="1" t="s">
        <v>364</v>
      </c>
      <c r="C25" s="2">
        <v>0</v>
      </c>
      <c r="D25" s="2">
        <v>1</v>
      </c>
      <c r="E25" s="2">
        <v>0</v>
      </c>
    </row>
    <row r="26" spans="1:5" ht="15.75" customHeight="1" x14ac:dyDescent="0.25">
      <c r="A26" s="1" t="s">
        <v>33</v>
      </c>
      <c r="B26" s="1" t="s">
        <v>73</v>
      </c>
      <c r="C26" s="2">
        <v>2</v>
      </c>
      <c r="D26" s="2">
        <v>2</v>
      </c>
      <c r="E26" s="2">
        <v>0</v>
      </c>
    </row>
    <row r="27" spans="1:5" ht="15.75" customHeight="1" x14ac:dyDescent="0.25">
      <c r="A27" s="1" t="s">
        <v>51</v>
      </c>
      <c r="B27" s="1" t="s">
        <v>56</v>
      </c>
      <c r="C27" s="2">
        <v>8</v>
      </c>
      <c r="D27" s="2">
        <v>6</v>
      </c>
      <c r="E27" s="2">
        <v>2</v>
      </c>
    </row>
    <row r="28" spans="1:5" ht="15.75" customHeight="1" x14ac:dyDescent="0.25">
      <c r="A28" s="1" t="s">
        <v>65</v>
      </c>
      <c r="B28" s="1" t="s">
        <v>176</v>
      </c>
      <c r="C28" s="2">
        <v>0</v>
      </c>
      <c r="D28" s="2">
        <v>1</v>
      </c>
      <c r="E28" s="2">
        <v>0</v>
      </c>
    </row>
    <row r="29" spans="1:5" ht="15.75" customHeight="1" x14ac:dyDescent="0.25">
      <c r="A29" s="1" t="s">
        <v>33</v>
      </c>
      <c r="B29" s="1" t="s">
        <v>38</v>
      </c>
      <c r="C29" s="2">
        <v>1</v>
      </c>
      <c r="D29" s="2">
        <v>1</v>
      </c>
      <c r="E29" s="2">
        <v>0</v>
      </c>
    </row>
    <row r="30" spans="1:5" ht="15.75" customHeight="1" x14ac:dyDescent="0.25">
      <c r="A30" s="1" t="s">
        <v>33</v>
      </c>
      <c r="B30" s="1" t="s">
        <v>365</v>
      </c>
      <c r="C30" s="2">
        <v>0</v>
      </c>
      <c r="D30" s="2">
        <v>0</v>
      </c>
      <c r="E30" s="2">
        <v>0</v>
      </c>
    </row>
    <row r="31" spans="1:5" ht="15.75" customHeight="1" x14ac:dyDescent="0.25">
      <c r="A31" s="1" t="s">
        <v>33</v>
      </c>
      <c r="B31" s="1" t="s">
        <v>366</v>
      </c>
      <c r="C31" s="2">
        <v>0</v>
      </c>
      <c r="D31" s="2">
        <v>0</v>
      </c>
      <c r="E31" s="2">
        <v>0</v>
      </c>
    </row>
    <row r="32" spans="1:5" ht="15.75" customHeight="1" x14ac:dyDescent="0.25">
      <c r="A32" s="1" t="s">
        <v>65</v>
      </c>
      <c r="B32" s="1" t="s">
        <v>367</v>
      </c>
      <c r="C32" s="2">
        <v>0</v>
      </c>
      <c r="D32" s="2">
        <v>0</v>
      </c>
      <c r="E32" s="2">
        <v>0</v>
      </c>
    </row>
    <row r="33" spans="1:5" ht="15.75" customHeight="1" x14ac:dyDescent="0.25">
      <c r="A33" s="1" t="s">
        <v>65</v>
      </c>
      <c r="B33" s="1" t="s">
        <v>66</v>
      </c>
      <c r="C33" s="2">
        <v>1</v>
      </c>
      <c r="D33" s="2">
        <v>1</v>
      </c>
      <c r="E33" s="2">
        <v>0</v>
      </c>
    </row>
    <row r="34" spans="1:5" ht="15.75" customHeight="1" x14ac:dyDescent="0.25">
      <c r="A34" s="1" t="s">
        <v>51</v>
      </c>
      <c r="B34" s="1" t="s">
        <v>368</v>
      </c>
      <c r="C34" s="2">
        <v>0</v>
      </c>
      <c r="D34" s="2">
        <v>0</v>
      </c>
      <c r="E34" s="2">
        <v>0</v>
      </c>
    </row>
    <row r="35" spans="1:5" ht="15.75" customHeight="1" x14ac:dyDescent="0.25">
      <c r="A35" s="1" t="s">
        <v>65</v>
      </c>
      <c r="B35" s="1" t="s">
        <v>325</v>
      </c>
      <c r="C35" s="2">
        <v>1</v>
      </c>
      <c r="D35" s="2">
        <v>1</v>
      </c>
      <c r="E35" s="2">
        <v>0</v>
      </c>
    </row>
    <row r="36" spans="1:5" ht="15.75" customHeight="1" x14ac:dyDescent="0.25">
      <c r="A36" s="1" t="s">
        <v>65</v>
      </c>
      <c r="B36" s="1" t="s">
        <v>369</v>
      </c>
      <c r="C36" s="2">
        <v>0</v>
      </c>
      <c r="D36" s="2">
        <v>0</v>
      </c>
      <c r="E36" s="2">
        <v>0</v>
      </c>
    </row>
    <row r="37" spans="1:5" ht="15.75" customHeight="1" x14ac:dyDescent="0.25">
      <c r="A37" s="1" t="s">
        <v>16</v>
      </c>
      <c r="B37" s="1" t="s">
        <v>17</v>
      </c>
      <c r="C37" s="2">
        <v>1</v>
      </c>
      <c r="D37" s="2">
        <v>1</v>
      </c>
      <c r="E37" s="2">
        <v>0</v>
      </c>
    </row>
    <row r="38" spans="1:5" ht="15.75" customHeight="1" x14ac:dyDescent="0.25">
      <c r="A38" s="1" t="s">
        <v>65</v>
      </c>
      <c r="B38" s="1" t="s">
        <v>370</v>
      </c>
      <c r="C38" s="2">
        <v>1</v>
      </c>
      <c r="D38" s="2">
        <v>0</v>
      </c>
      <c r="E38" s="2">
        <v>1</v>
      </c>
    </row>
    <row r="39" spans="1:5" ht="15.75" customHeight="1" x14ac:dyDescent="0.25">
      <c r="A39" s="1" t="s">
        <v>65</v>
      </c>
      <c r="B39" s="1" t="s">
        <v>352</v>
      </c>
      <c r="C39" s="2">
        <v>0</v>
      </c>
      <c r="D39" s="2">
        <v>1</v>
      </c>
      <c r="E39" s="2">
        <v>0</v>
      </c>
    </row>
    <row r="40" spans="1:5" ht="15.75" customHeight="1" x14ac:dyDescent="0.25">
      <c r="A40" s="1" t="s">
        <v>33</v>
      </c>
      <c r="B40" s="1" t="s">
        <v>107</v>
      </c>
      <c r="C40" s="2">
        <v>3</v>
      </c>
      <c r="D40" s="2">
        <v>2</v>
      </c>
      <c r="E40" s="2">
        <v>1</v>
      </c>
    </row>
    <row r="41" spans="1:5" ht="15.75" customHeight="1" x14ac:dyDescent="0.25">
      <c r="A41" s="1" t="s">
        <v>33</v>
      </c>
      <c r="B41" s="1" t="s">
        <v>371</v>
      </c>
      <c r="C41" s="2">
        <v>0</v>
      </c>
      <c r="D41" s="2">
        <v>0</v>
      </c>
      <c r="E41" s="2">
        <v>0</v>
      </c>
    </row>
    <row r="42" spans="1:5" ht="15.75" customHeight="1" x14ac:dyDescent="0.25">
      <c r="A42" s="1" t="s">
        <v>33</v>
      </c>
      <c r="B42" s="1" t="s">
        <v>48</v>
      </c>
      <c r="C42" s="2">
        <v>6</v>
      </c>
      <c r="D42" s="2">
        <v>5</v>
      </c>
      <c r="E42" s="2">
        <v>1</v>
      </c>
    </row>
    <row r="43" spans="1:5" ht="15.75" customHeight="1" x14ac:dyDescent="0.25">
      <c r="A43" s="1" t="s">
        <v>65</v>
      </c>
      <c r="B43" s="1" t="s">
        <v>372</v>
      </c>
      <c r="C43" s="2">
        <v>0</v>
      </c>
      <c r="D43" s="2">
        <v>0</v>
      </c>
      <c r="E43" s="2">
        <v>0</v>
      </c>
    </row>
    <row r="44" spans="1:5" ht="15.75" customHeight="1" x14ac:dyDescent="0.25">
      <c r="A44" s="1" t="s">
        <v>51</v>
      </c>
      <c r="B44" s="1" t="s">
        <v>52</v>
      </c>
      <c r="C44" s="2">
        <v>2</v>
      </c>
      <c r="D44" s="2">
        <v>1</v>
      </c>
      <c r="E44" s="2">
        <v>1</v>
      </c>
    </row>
    <row r="45" spans="1:5" ht="15.75" customHeight="1" x14ac:dyDescent="0.25">
      <c r="A45" s="1" t="s">
        <v>51</v>
      </c>
      <c r="B45" s="1" t="s">
        <v>373</v>
      </c>
      <c r="C45" s="2">
        <v>0</v>
      </c>
      <c r="D45" s="2">
        <v>0</v>
      </c>
      <c r="E45" s="2">
        <v>0</v>
      </c>
    </row>
    <row r="46" spans="1:5" ht="15.75" customHeight="1" x14ac:dyDescent="0.25">
      <c r="A46" s="1" t="s">
        <v>65</v>
      </c>
      <c r="B46" s="1" t="s">
        <v>116</v>
      </c>
      <c r="C46" s="2">
        <v>1</v>
      </c>
      <c r="D46" s="2">
        <v>1</v>
      </c>
      <c r="E46" s="2">
        <v>0</v>
      </c>
    </row>
    <row r="47" spans="1:5" ht="15.75" customHeight="1" x14ac:dyDescent="0.25">
      <c r="A47" s="1" t="s">
        <v>51</v>
      </c>
      <c r="B47" s="1" t="s">
        <v>374</v>
      </c>
      <c r="C47" s="2">
        <v>0</v>
      </c>
      <c r="D47" s="2">
        <v>0</v>
      </c>
      <c r="E47" s="2">
        <v>0</v>
      </c>
    </row>
    <row r="48" spans="1:5" ht="15.75" customHeight="1" x14ac:dyDescent="0.25">
      <c r="A48" s="1" t="s">
        <v>65</v>
      </c>
      <c r="B48" s="1" t="s">
        <v>375</v>
      </c>
      <c r="C48" s="2">
        <v>2</v>
      </c>
      <c r="D48" s="2">
        <v>0</v>
      </c>
      <c r="E48" s="2">
        <v>2</v>
      </c>
    </row>
    <row r="49" spans="1:5" ht="15.75" customHeight="1" x14ac:dyDescent="0.25">
      <c r="A49" s="1" t="s">
        <v>33</v>
      </c>
      <c r="B49" s="1" t="s">
        <v>376</v>
      </c>
      <c r="C49" s="2">
        <v>0</v>
      </c>
      <c r="D49" s="2">
        <v>0</v>
      </c>
      <c r="E49" s="2">
        <v>0</v>
      </c>
    </row>
    <row r="50" spans="1:5" ht="15.75" customHeight="1" x14ac:dyDescent="0.25">
      <c r="A50" s="1" t="s">
        <v>33</v>
      </c>
      <c r="B50" s="1" t="s">
        <v>377</v>
      </c>
      <c r="C50" s="2">
        <v>0</v>
      </c>
      <c r="D50" s="2">
        <v>0</v>
      </c>
      <c r="E50" s="2">
        <v>0</v>
      </c>
    </row>
    <row r="51" spans="1:5" ht="15.75" customHeight="1" x14ac:dyDescent="0.25">
      <c r="A51" s="1" t="s">
        <v>33</v>
      </c>
      <c r="B51" s="1" t="s">
        <v>36</v>
      </c>
      <c r="C51" s="2">
        <v>8</v>
      </c>
      <c r="D51" s="2">
        <v>11</v>
      </c>
      <c r="E51" s="2">
        <v>0</v>
      </c>
    </row>
    <row r="52" spans="1:5" ht="15.75" customHeight="1" x14ac:dyDescent="0.25">
      <c r="A52" s="1" t="s">
        <v>65</v>
      </c>
      <c r="B52" s="1" t="s">
        <v>378</v>
      </c>
      <c r="C52" s="2">
        <v>0</v>
      </c>
      <c r="D52" s="2">
        <v>0</v>
      </c>
      <c r="E52" s="2">
        <v>0</v>
      </c>
    </row>
    <row r="53" spans="1:5" ht="15.75" customHeight="1" x14ac:dyDescent="0.25">
      <c r="A53" s="1" t="s">
        <v>16</v>
      </c>
      <c r="B53" s="1" t="s">
        <v>379</v>
      </c>
      <c r="C53" s="2">
        <v>0</v>
      </c>
      <c r="D53" s="2">
        <v>0</v>
      </c>
      <c r="E53" s="2">
        <v>0</v>
      </c>
    </row>
    <row r="54" spans="1:5" ht="15.75" customHeight="1" x14ac:dyDescent="0.25">
      <c r="A54" s="1" t="s">
        <v>110</v>
      </c>
      <c r="B54" s="1" t="s">
        <v>114</v>
      </c>
      <c r="C54" s="2">
        <v>0</v>
      </c>
      <c r="D54" s="2">
        <v>0</v>
      </c>
      <c r="E54" s="2">
        <v>0</v>
      </c>
    </row>
    <row r="55" spans="1:5" ht="15.75" customHeight="1" x14ac:dyDescent="0.25">
      <c r="A55" s="1" t="s">
        <v>33</v>
      </c>
      <c r="B55" s="1" t="s">
        <v>54</v>
      </c>
      <c r="C55" s="2">
        <v>6</v>
      </c>
      <c r="D55" s="2">
        <v>6</v>
      </c>
      <c r="E55" s="2">
        <v>0</v>
      </c>
    </row>
    <row r="56" spans="1:5" ht="15.75" customHeight="1" x14ac:dyDescent="0.25">
      <c r="A56" s="1" t="s">
        <v>51</v>
      </c>
      <c r="B56" s="1" t="s">
        <v>380</v>
      </c>
      <c r="C56" s="2">
        <v>1</v>
      </c>
      <c r="D56" s="2">
        <v>0</v>
      </c>
      <c r="E56" s="2">
        <v>1</v>
      </c>
    </row>
    <row r="57" spans="1:5" ht="15.75" customHeight="1" x14ac:dyDescent="0.25">
      <c r="A57" s="1" t="s">
        <v>33</v>
      </c>
      <c r="B57" s="1" t="s">
        <v>381</v>
      </c>
      <c r="C57" s="2">
        <v>0</v>
      </c>
      <c r="D57" s="2">
        <v>0</v>
      </c>
      <c r="E57" s="2">
        <v>0</v>
      </c>
    </row>
    <row r="58" spans="1:5" ht="15.75" customHeight="1" x14ac:dyDescent="0.25">
      <c r="A58" s="1" t="s">
        <v>51</v>
      </c>
      <c r="B58" s="1" t="s">
        <v>382</v>
      </c>
      <c r="C58" s="2">
        <v>0</v>
      </c>
      <c r="D58" s="2">
        <v>0</v>
      </c>
      <c r="E58" s="2">
        <v>0</v>
      </c>
    </row>
    <row r="59" spans="1:5" ht="15.75" customHeight="1" x14ac:dyDescent="0.25">
      <c r="A59" s="1" t="s">
        <v>191</v>
      </c>
      <c r="B59" s="1" t="s">
        <v>192</v>
      </c>
      <c r="C59" s="2">
        <v>1</v>
      </c>
      <c r="D59" s="2">
        <v>1</v>
      </c>
      <c r="E59" s="2">
        <v>0</v>
      </c>
    </row>
    <row r="60" spans="1:5" ht="15.75" customHeight="1" x14ac:dyDescent="0.25">
      <c r="A60" s="1" t="s">
        <v>65</v>
      </c>
      <c r="B60" s="1" t="s">
        <v>276</v>
      </c>
      <c r="C60" s="2">
        <v>1</v>
      </c>
      <c r="D60" s="2">
        <v>1</v>
      </c>
      <c r="E60" s="2">
        <v>0</v>
      </c>
    </row>
    <row r="61" spans="1:5" ht="15.75" customHeight="1" x14ac:dyDescent="0.25">
      <c r="A61" s="1" t="s">
        <v>51</v>
      </c>
      <c r="B61" s="1" t="s">
        <v>282</v>
      </c>
      <c r="C61" s="2">
        <v>0</v>
      </c>
      <c r="D61" s="2">
        <v>1</v>
      </c>
      <c r="E61" s="2">
        <v>0</v>
      </c>
    </row>
    <row r="62" spans="1:5" ht="15.75" customHeight="1" x14ac:dyDescent="0.25">
      <c r="A62" s="1" t="s">
        <v>65</v>
      </c>
      <c r="B62" s="1" t="s">
        <v>383</v>
      </c>
      <c r="C62" s="2">
        <v>0</v>
      </c>
      <c r="D62" s="2">
        <v>0</v>
      </c>
      <c r="E62" s="2">
        <v>0</v>
      </c>
    </row>
    <row r="63" spans="1:5" ht="15.75" customHeight="1" x14ac:dyDescent="0.25">
      <c r="A63" s="1" t="s">
        <v>110</v>
      </c>
      <c r="B63" s="1" t="s">
        <v>111</v>
      </c>
      <c r="C63" s="2">
        <v>0</v>
      </c>
      <c r="D63" s="2">
        <v>1</v>
      </c>
      <c r="E63" s="2">
        <v>0</v>
      </c>
    </row>
    <row r="64" spans="1:5" ht="15.75" customHeight="1" x14ac:dyDescent="0.25">
      <c r="A64" s="1" t="s">
        <v>33</v>
      </c>
      <c r="B64" s="1" t="s">
        <v>384</v>
      </c>
      <c r="C64" s="2">
        <v>0</v>
      </c>
      <c r="D64" s="2">
        <v>0</v>
      </c>
      <c r="E64" s="2">
        <v>0</v>
      </c>
    </row>
    <row r="65" spans="1:5" ht="15.75" customHeight="1" x14ac:dyDescent="0.25">
      <c r="A65" s="1" t="s">
        <v>65</v>
      </c>
      <c r="B65" s="1" t="s">
        <v>82</v>
      </c>
      <c r="C65" s="2">
        <v>1</v>
      </c>
      <c r="D65" s="2">
        <v>1</v>
      </c>
      <c r="E65" s="2">
        <v>0</v>
      </c>
    </row>
    <row r="66" spans="1:5" ht="15.75" customHeight="1" x14ac:dyDescent="0.25">
      <c r="A66" s="1" t="s">
        <v>33</v>
      </c>
      <c r="B66" s="1" t="s">
        <v>93</v>
      </c>
      <c r="C66" s="2">
        <v>4</v>
      </c>
      <c r="D66" s="2">
        <v>5</v>
      </c>
      <c r="E66" s="2">
        <v>0</v>
      </c>
    </row>
    <row r="67" spans="1:5" ht="15.75" customHeight="1" x14ac:dyDescent="0.25">
      <c r="A67" s="1" t="s">
        <v>65</v>
      </c>
      <c r="B67" s="1" t="s">
        <v>200</v>
      </c>
      <c r="C67" s="2">
        <v>1</v>
      </c>
      <c r="D67" s="2">
        <v>2</v>
      </c>
      <c r="E67" s="2">
        <v>0</v>
      </c>
    </row>
    <row r="68" spans="1:5" ht="15.75" customHeight="1" x14ac:dyDescent="0.25">
      <c r="A68" s="1" t="s">
        <v>65</v>
      </c>
      <c r="B68" s="1" t="s">
        <v>343</v>
      </c>
      <c r="C68" s="2">
        <v>5</v>
      </c>
      <c r="D68" s="2">
        <v>1</v>
      </c>
      <c r="E68" s="2">
        <v>4</v>
      </c>
    </row>
    <row r="69" spans="1:5" ht="15.75" customHeight="1" x14ac:dyDescent="0.25">
      <c r="A69" s="1" t="s">
        <v>33</v>
      </c>
      <c r="B69" s="1" t="s">
        <v>385</v>
      </c>
      <c r="C69" s="2">
        <v>0</v>
      </c>
      <c r="D69" s="2">
        <v>0</v>
      </c>
      <c r="E69" s="2">
        <v>0</v>
      </c>
    </row>
    <row r="70" spans="1:5" ht="15.75" customHeight="1" x14ac:dyDescent="0.25">
      <c r="A70" s="1"/>
      <c r="B70" s="1"/>
      <c r="C70" s="1"/>
      <c r="D70" s="1"/>
      <c r="E70" s="1"/>
    </row>
    <row r="71" spans="1:5" ht="15.75" customHeight="1" x14ac:dyDescent="0.25">
      <c r="A71" s="1"/>
      <c r="B71" s="1" t="s">
        <v>386</v>
      </c>
      <c r="C71" s="2">
        <f t="shared" ref="C71:E71" si="0">SUM(C2:C69)</f>
        <v>102</v>
      </c>
      <c r="D71" s="2">
        <f t="shared" si="0"/>
        <v>107</v>
      </c>
      <c r="E71" s="2">
        <f t="shared" si="0"/>
        <v>14</v>
      </c>
    </row>
    <row r="72" spans="1:5" ht="15.75" customHeight="1" x14ac:dyDescent="0.2"/>
    <row r="73" spans="1:5" ht="15.75" customHeight="1" x14ac:dyDescent="0.2"/>
    <row r="74" spans="1:5" ht="15.75" customHeight="1" x14ac:dyDescent="0.2"/>
    <row r="75" spans="1:5" ht="15.75" customHeight="1" x14ac:dyDescent="0.2"/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Laurent Houle</cp:lastModifiedBy>
  <dcterms:modified xsi:type="dcterms:W3CDTF">2026-05-12T15:52:08Z</dcterms:modified>
</cp:coreProperties>
</file>